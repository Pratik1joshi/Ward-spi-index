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 - IES\Shared Prosperity Mapping\Analytics\"/>
    </mc:Choice>
  </mc:AlternateContent>
  <xr:revisionPtr revIDLastSave="0" documentId="13_ncr:1_{99A03B00-17AD-43CF-A11B-5BC873942B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Kepilasgadhi" sheetId="2" r:id="rId2"/>
    <sheet name="Halesi" sheetId="3" r:id="rId3"/>
    <sheet name="Belaka" sheetId="4" r:id="rId4"/>
    <sheet name="Hanuman" sheetId="5" r:id="rId5"/>
    <sheet name="Gadhi" sheetId="6" r:id="rId6"/>
    <sheet name="Sunkoshi" sheetId="7" r:id="rId7"/>
  </sheets>
  <definedNames>
    <definedName name="_xlnm._FilterDatabase" localSheetId="0" hidden="1">All!$A$1:$A$55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2" i="4"/>
  <c r="J11" i="4" l="1"/>
  <c r="AC11" i="4"/>
  <c r="I22" i="1"/>
  <c r="I21" i="1"/>
  <c r="I20" i="1"/>
  <c r="I3" i="1"/>
  <c r="I2" i="1"/>
  <c r="W8" i="7"/>
  <c r="AC8" i="7" s="1"/>
  <c r="W7" i="7"/>
  <c r="AC7" i="7" s="1"/>
  <c r="W6" i="7"/>
  <c r="AC6" i="7" s="1"/>
  <c r="AC5" i="7"/>
  <c r="W5" i="7"/>
  <c r="AC4" i="7"/>
  <c r="W4" i="7"/>
  <c r="AC3" i="7"/>
  <c r="W3" i="7"/>
  <c r="W2" i="7"/>
  <c r="AC2" i="7" s="1"/>
  <c r="W7" i="6"/>
  <c r="AC7" i="6" s="1"/>
  <c r="AC6" i="6"/>
  <c r="W6" i="6"/>
  <c r="W5" i="6"/>
  <c r="AC5" i="6" s="1"/>
  <c r="AC4" i="6"/>
  <c r="W4" i="6"/>
  <c r="AC3" i="6"/>
  <c r="W3" i="6"/>
  <c r="W2" i="6"/>
  <c r="AC2" i="6" s="1"/>
  <c r="W15" i="5"/>
  <c r="AC15" i="5" s="1"/>
  <c r="W14" i="5"/>
  <c r="AC14" i="5" s="1"/>
  <c r="W13" i="5"/>
  <c r="AC13" i="5" s="1"/>
  <c r="W12" i="5"/>
  <c r="AC12" i="5" s="1"/>
  <c r="AC11" i="5"/>
  <c r="W11" i="5"/>
  <c r="W10" i="5"/>
  <c r="AC10" i="5" s="1"/>
  <c r="W9" i="5"/>
  <c r="AC9" i="5" s="1"/>
  <c r="W8" i="5"/>
  <c r="AC8" i="5" s="1"/>
  <c r="W7" i="5"/>
  <c r="AC7" i="5" s="1"/>
  <c r="W6" i="5"/>
  <c r="AC6" i="5" s="1"/>
  <c r="AC5" i="5"/>
  <c r="W5" i="5"/>
  <c r="AC4" i="5"/>
  <c r="W4" i="5"/>
  <c r="W3" i="5"/>
  <c r="AC3" i="5" s="1"/>
  <c r="W2" i="5"/>
  <c r="AC2" i="5" s="1"/>
  <c r="X10" i="4"/>
  <c r="AD10" i="4" s="1"/>
  <c r="X9" i="4"/>
  <c r="AD9" i="4" s="1"/>
  <c r="X8" i="4"/>
  <c r="AD8" i="4" s="1"/>
  <c r="X7" i="4"/>
  <c r="AD7" i="4" s="1"/>
  <c r="X6" i="4"/>
  <c r="AD6" i="4" s="1"/>
  <c r="X5" i="4"/>
  <c r="AD5" i="4" s="1"/>
  <c r="X4" i="4"/>
  <c r="AD4" i="4" s="1"/>
  <c r="X3" i="4"/>
  <c r="AD3" i="4" s="1"/>
  <c r="X2" i="4"/>
  <c r="AD2" i="4" s="1"/>
  <c r="W12" i="3"/>
  <c r="AC12" i="3" s="1"/>
  <c r="W11" i="3"/>
  <c r="AC11" i="3" s="1"/>
  <c r="W10" i="3"/>
  <c r="AC10" i="3" s="1"/>
  <c r="W9" i="3"/>
  <c r="AC9" i="3" s="1"/>
  <c r="W8" i="3"/>
  <c r="AC8" i="3" s="1"/>
  <c r="W7" i="3"/>
  <c r="AC7" i="3" s="1"/>
  <c r="W6" i="3"/>
  <c r="AC6" i="3" s="1"/>
  <c r="W5" i="3"/>
  <c r="AC5" i="3" s="1"/>
  <c r="W4" i="3"/>
  <c r="AC4" i="3" s="1"/>
  <c r="AC3" i="3"/>
  <c r="W3" i="3"/>
  <c r="W2" i="3"/>
  <c r="AC2" i="3" s="1"/>
  <c r="W8" i="2"/>
  <c r="AC8" i="2" s="1"/>
  <c r="W7" i="2"/>
  <c r="AC7" i="2" s="1"/>
  <c r="W6" i="2"/>
  <c r="AC6" i="2" s="1"/>
  <c r="W5" i="2"/>
  <c r="AC5" i="2" s="1"/>
  <c r="W4" i="2"/>
  <c r="AC4" i="2" s="1"/>
  <c r="W3" i="2"/>
  <c r="AC3" i="2" s="1"/>
  <c r="W2" i="2"/>
  <c r="AC2" i="2" s="1"/>
  <c r="W49" i="1"/>
  <c r="AC49" i="1" s="1"/>
  <c r="W50" i="1"/>
  <c r="AC50" i="1" s="1"/>
  <c r="W51" i="1"/>
  <c r="AC51" i="1" s="1"/>
  <c r="W52" i="1"/>
  <c r="AC52" i="1" s="1"/>
  <c r="W53" i="1"/>
  <c r="AC53" i="1" s="1"/>
  <c r="W54" i="1"/>
  <c r="AC54" i="1" s="1"/>
  <c r="W55" i="1"/>
  <c r="AC55" i="1" s="1"/>
  <c r="AD11" i="4" l="1"/>
  <c r="X11" i="4"/>
  <c r="W3" i="1"/>
  <c r="AC3" i="1" s="1"/>
  <c r="W4" i="1"/>
  <c r="AC4" i="1" s="1"/>
  <c r="W5" i="1"/>
  <c r="AC5" i="1" s="1"/>
  <c r="W6" i="1"/>
  <c r="AC6" i="1" s="1"/>
  <c r="W7" i="1"/>
  <c r="AC7" i="1" s="1"/>
  <c r="W8" i="1"/>
  <c r="AC8" i="1" s="1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8" i="1"/>
  <c r="AC28" i="1" s="1"/>
  <c r="W2" i="1"/>
  <c r="AC2" i="1" s="1"/>
  <c r="AE21" i="1" l="1"/>
</calcChain>
</file>

<file path=xl/sharedStrings.xml><?xml version="1.0" encoding="utf-8"?>
<sst xmlns="http://schemas.openxmlformats.org/spreadsheetml/2006/main" count="311" uniqueCount="35">
  <si>
    <t>Ward</t>
  </si>
  <si>
    <t>Socio-economic</t>
  </si>
  <si>
    <t>Institutional</t>
  </si>
  <si>
    <t>Political</t>
  </si>
  <si>
    <t>Cultural</t>
  </si>
  <si>
    <t>Spatial</t>
  </si>
  <si>
    <t>EI</t>
  </si>
  <si>
    <t>EI%</t>
  </si>
  <si>
    <t>H</t>
  </si>
  <si>
    <t>A</t>
  </si>
  <si>
    <t>MPI</t>
  </si>
  <si>
    <t>E</t>
  </si>
  <si>
    <t>S</t>
  </si>
  <si>
    <t>C</t>
  </si>
  <si>
    <t>VI</t>
  </si>
  <si>
    <t>VI%</t>
  </si>
  <si>
    <t>SPI</t>
  </si>
  <si>
    <t>Municipality</t>
  </si>
  <si>
    <t>Belaka</t>
  </si>
  <si>
    <t>Gadhi</t>
  </si>
  <si>
    <t>Kepilasgadhi</t>
  </si>
  <si>
    <t>Sunkoshi</t>
  </si>
  <si>
    <t>Contribution % 1.1</t>
  </si>
  <si>
    <t>Contribution % 1.2</t>
  </si>
  <si>
    <t>Contribution % 2.1</t>
  </si>
  <si>
    <t>Contribution % 2.2</t>
  </si>
  <si>
    <t>Contribution % 3.1</t>
  </si>
  <si>
    <t>Contribution % 3.2</t>
  </si>
  <si>
    <t>Contribution % 3.3</t>
  </si>
  <si>
    <t>Contribution % 3.4</t>
  </si>
  <si>
    <t>Contribution % 3.5</t>
  </si>
  <si>
    <t>Contribution % 3.6</t>
  </si>
  <si>
    <t>Halesi</t>
  </si>
  <si>
    <t>Hanumanangar</t>
  </si>
  <si>
    <t>MPI%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</si>
</sst>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1" applyNumberFormat="1" applyFont="1" applyFill="1" applyBorder="1"/>
    <xf numFmtId="0" fontId="0" fillId="2" borderId="2" xfId="1" applyNumberFormat="1" applyFont="1" applyFill="1" applyBorder="1"/>
    <xf numFmtId="164" fontId="0" fillId="2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workbookViewId="0">
      <pane xSplit="2" ySplit="1" topLeftCell="U23" activePane="bottomRight" state="frozen"/>
      <selection pane="topRight" activeCell="C1" sqref="C1"/>
      <selection pane="bottomLeft" activeCell="A2" sqref="A2"/>
      <selection pane="bottomRight" activeCell="AD34" sqref="AD34"/>
    </sheetView>
  </sheetViews>
  <sheetFormatPr defaultColWidth="13.33203125" defaultRowHeight="14.4" x14ac:dyDescent="0.3"/>
  <cols>
    <col min="1" max="1" width="12.88671875" style="2" bestFit="1" customWidth="1"/>
    <col min="2" max="2" width="5.5546875" style="2" bestFit="1" customWidth="1"/>
    <col min="3" max="3" width="14.5546875" style="3" bestFit="1" customWidth="1"/>
    <col min="4" max="7" width="12" style="3" bestFit="1" customWidth="1"/>
    <col min="8" max="9" width="12" style="12" bestFit="1" customWidth="1"/>
    <col min="10" max="19" width="16.6640625" style="3" bestFit="1" customWidth="1"/>
    <col min="20" max="20" width="12" style="12" bestFit="1" customWidth="1"/>
    <col min="21" max="21" width="12" style="3" bestFit="1" customWidth="1"/>
    <col min="22" max="22" width="10" style="12" bestFit="1" customWidth="1"/>
    <col min="23" max="23" width="10" style="12" customWidth="1"/>
    <col min="24" max="26" width="12" style="3" bestFit="1" customWidth="1"/>
    <col min="27" max="28" width="12" style="12" bestFit="1" customWidth="1"/>
    <col min="29" max="29" width="12.44140625" style="12" customWidth="1"/>
    <col min="30" max="16384" width="13.33203125" style="3"/>
  </cols>
  <sheetData>
    <row r="1" spans="1:29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f>(H2-1)/4*100</f>
        <v>48.177860696517385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46.284944325989102</v>
      </c>
      <c r="AC2" s="10">
        <f>100-AVERAGE(I2,W2,AB2)</f>
        <v>63.343796888573003</v>
      </c>
    </row>
    <row r="3" spans="1:29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f>(H3-1)/4*100</f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55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55" si="1">100-AVERAGE(I4,W4,AB4)</f>
        <v>58.411085301329202</v>
      </c>
    </row>
    <row r="5" spans="1:29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  <row r="9" spans="1:29" x14ac:dyDescent="0.3">
      <c r="A9" s="6" t="s">
        <v>32</v>
      </c>
      <c r="B9" s="7">
        <v>1</v>
      </c>
      <c r="C9" s="7">
        <v>1.7783018867924529</v>
      </c>
      <c r="D9" s="7">
        <v>1.2971698113207548</v>
      </c>
      <c r="E9" s="7">
        <v>1.7232704402515726</v>
      </c>
      <c r="F9" s="7">
        <v>1.1556603773584906</v>
      </c>
      <c r="G9" s="7">
        <v>2.3679245283018866</v>
      </c>
      <c r="H9" s="11">
        <v>1.664465408805031</v>
      </c>
      <c r="I9" s="11">
        <v>16.611635220125777</v>
      </c>
      <c r="J9" s="8">
        <v>0</v>
      </c>
      <c r="K9" s="8">
        <v>0</v>
      </c>
      <c r="L9" s="8">
        <v>44.910179640718553</v>
      </c>
      <c r="M9" s="8">
        <v>1.796407185628742</v>
      </c>
      <c r="N9" s="8">
        <v>14.970059880239518</v>
      </c>
      <c r="O9" s="8">
        <v>13.173652694610777</v>
      </c>
      <c r="P9" s="8">
        <v>4.1916167664670647</v>
      </c>
      <c r="Q9" s="8">
        <v>1.1976047904191613</v>
      </c>
      <c r="R9" s="8">
        <v>14.371257485029936</v>
      </c>
      <c r="S9" s="8">
        <v>5.3892215568862261</v>
      </c>
      <c r="T9" s="10">
        <v>0.47169811320754718</v>
      </c>
      <c r="U9" s="8">
        <v>0.37111111111111117</v>
      </c>
      <c r="V9" s="14">
        <v>0.17505241090146753</v>
      </c>
      <c r="W9" s="14">
        <f t="shared" si="0"/>
        <v>17.505241090146754</v>
      </c>
      <c r="X9" s="8">
        <v>2.4528301886792452</v>
      </c>
      <c r="Y9" s="8">
        <v>2.7295597484276737</v>
      </c>
      <c r="Z9" s="8">
        <v>3.2398921832884091</v>
      </c>
      <c r="AA9" s="10">
        <v>2.8074273734651096</v>
      </c>
      <c r="AB9" s="10">
        <v>45.185684336627737</v>
      </c>
      <c r="AC9" s="10">
        <f t="shared" si="1"/>
        <v>73.565813117699904</v>
      </c>
    </row>
    <row r="10" spans="1:29" x14ac:dyDescent="0.3">
      <c r="A10" s="6" t="s">
        <v>32</v>
      </c>
      <c r="B10" s="7">
        <v>2</v>
      </c>
      <c r="C10" s="7">
        <v>2.8103448275862069</v>
      </c>
      <c r="D10" s="7">
        <v>1.1551724137931034</v>
      </c>
      <c r="E10" s="7">
        <v>1.4137931034482758</v>
      </c>
      <c r="F10" s="7">
        <v>1.021551724137931</v>
      </c>
      <c r="G10" s="7">
        <v>2.9396551724137931</v>
      </c>
      <c r="H10" s="11">
        <v>1.8681034482758621</v>
      </c>
      <c r="I10" s="11">
        <v>21.702586206896552</v>
      </c>
      <c r="J10" s="8">
        <v>0</v>
      </c>
      <c r="K10" s="8">
        <v>2.9702970297029698</v>
      </c>
      <c r="L10" s="8">
        <v>47.524752475247517</v>
      </c>
      <c r="M10" s="8">
        <v>0</v>
      </c>
      <c r="N10" s="8">
        <v>15.84158415841584</v>
      </c>
      <c r="O10" s="8">
        <v>5.9405940594059397</v>
      </c>
      <c r="P10" s="8">
        <v>10.891089108910888</v>
      </c>
      <c r="Q10" s="8">
        <v>0</v>
      </c>
      <c r="R10" s="8">
        <v>15.84158415841584</v>
      </c>
      <c r="S10" s="8">
        <v>0.99009900990098998</v>
      </c>
      <c r="T10" s="10">
        <v>0.27586206896551724</v>
      </c>
      <c r="U10" s="8">
        <v>0.35069444444444448</v>
      </c>
      <c r="V10" s="14">
        <v>9.67432950191571E-2</v>
      </c>
      <c r="W10" s="14">
        <f t="shared" si="0"/>
        <v>9.6743295019157092</v>
      </c>
      <c r="X10" s="8">
        <v>2.9396551724137931</v>
      </c>
      <c r="Y10" s="8">
        <v>2.7413793103448265</v>
      </c>
      <c r="Z10" s="8">
        <v>3.339901477832512</v>
      </c>
      <c r="AA10" s="10">
        <v>3.0069786535303771</v>
      </c>
      <c r="AB10" s="10">
        <v>50.174466338259428</v>
      </c>
      <c r="AC10" s="10">
        <f t="shared" si="1"/>
        <v>72.816205984309434</v>
      </c>
    </row>
    <row r="11" spans="1:29" x14ac:dyDescent="0.3">
      <c r="A11" s="6" t="s">
        <v>32</v>
      </c>
      <c r="B11" s="7">
        <v>3</v>
      </c>
      <c r="C11" s="7">
        <v>1.8663793103448276</v>
      </c>
      <c r="D11" s="7">
        <v>1.1982758620689655</v>
      </c>
      <c r="E11" s="7">
        <v>1.264367816091954</v>
      </c>
      <c r="F11" s="7">
        <v>1.1508620689655173</v>
      </c>
      <c r="G11" s="7">
        <v>1.9956896551724137</v>
      </c>
      <c r="H11" s="11">
        <v>1.495114942528736</v>
      </c>
      <c r="I11" s="11">
        <v>12.377873563218401</v>
      </c>
      <c r="J11" s="8">
        <v>0</v>
      </c>
      <c r="K11" s="8">
        <v>1.1718749999999993</v>
      </c>
      <c r="L11" s="8">
        <v>42.187499999999979</v>
      </c>
      <c r="M11" s="8">
        <v>2.3437499999999987</v>
      </c>
      <c r="N11" s="8">
        <v>14.062499999999991</v>
      </c>
      <c r="O11" s="8">
        <v>10.156249999999995</v>
      </c>
      <c r="P11" s="8">
        <v>8.5937499999999947</v>
      </c>
      <c r="Q11" s="8">
        <v>1.5624999999999991</v>
      </c>
      <c r="R11" s="8">
        <v>13.671874999999991</v>
      </c>
      <c r="S11" s="8">
        <v>6.2499999999999964</v>
      </c>
      <c r="T11" s="10">
        <v>0.62068965517241381</v>
      </c>
      <c r="U11" s="8">
        <v>0.39506172839506193</v>
      </c>
      <c r="V11" s="14">
        <v>0.24521072796934879</v>
      </c>
      <c r="W11" s="14">
        <f t="shared" si="0"/>
        <v>24.521072796934877</v>
      </c>
      <c r="X11" s="8">
        <v>2.1681034482758621</v>
      </c>
      <c r="Y11" s="8">
        <v>3.1206896551724133</v>
      </c>
      <c r="Z11" s="8">
        <v>3.214285714285714</v>
      </c>
      <c r="AA11" s="10">
        <v>2.8343596059113305</v>
      </c>
      <c r="AB11" s="10">
        <v>45.85899014778326</v>
      </c>
      <c r="AC11" s="10">
        <f t="shared" si="1"/>
        <v>72.41402116402115</v>
      </c>
    </row>
    <row r="12" spans="1:29" x14ac:dyDescent="0.3">
      <c r="A12" s="6" t="s">
        <v>32</v>
      </c>
      <c r="B12" s="7">
        <v>4</v>
      </c>
      <c r="C12" s="7">
        <v>2.6057692307692308</v>
      </c>
      <c r="D12" s="7">
        <v>1.0673076923076923</v>
      </c>
      <c r="E12" s="7">
        <v>1.3076923076923077</v>
      </c>
      <c r="F12" s="7">
        <v>1.0769230769230769</v>
      </c>
      <c r="G12" s="7">
        <v>2.5865384615384617</v>
      </c>
      <c r="H12" s="11">
        <v>1.7288461538461537</v>
      </c>
      <c r="I12" s="11">
        <v>18.221153846153843</v>
      </c>
      <c r="J12" s="8">
        <v>0</v>
      </c>
      <c r="K12" s="8">
        <v>0</v>
      </c>
      <c r="L12" s="8">
        <v>47.999999999999979</v>
      </c>
      <c r="M12" s="8">
        <v>0</v>
      </c>
      <c r="N12" s="8">
        <v>15.999999999999995</v>
      </c>
      <c r="O12" s="8">
        <v>3.9999999999999987</v>
      </c>
      <c r="P12" s="8">
        <v>15.999999999999995</v>
      </c>
      <c r="Q12" s="8">
        <v>0</v>
      </c>
      <c r="R12" s="8">
        <v>15.999999999999995</v>
      </c>
      <c r="S12" s="8">
        <v>0</v>
      </c>
      <c r="T12" s="10">
        <v>0.15384615384615385</v>
      </c>
      <c r="U12" s="8">
        <v>0.34722222222222232</v>
      </c>
      <c r="V12" s="14">
        <v>5.3418803418803437E-2</v>
      </c>
      <c r="W12" s="14">
        <f t="shared" si="0"/>
        <v>5.3418803418803433</v>
      </c>
      <c r="X12" s="8">
        <v>2.7211538461538463</v>
      </c>
      <c r="Y12" s="8">
        <v>2.7692307692307692</v>
      </c>
      <c r="Z12" s="8">
        <v>3.1758241758241761</v>
      </c>
      <c r="AA12" s="10">
        <v>2.8887362637362632</v>
      </c>
      <c r="AB12" s="10">
        <v>47.218406593406584</v>
      </c>
      <c r="AC12" s="10">
        <f t="shared" si="1"/>
        <v>76.406186406186407</v>
      </c>
    </row>
    <row r="13" spans="1:29" x14ac:dyDescent="0.3">
      <c r="A13" s="6" t="s">
        <v>32</v>
      </c>
      <c r="B13" s="7">
        <v>5</v>
      </c>
      <c r="C13" s="7">
        <v>2.1119402985074629</v>
      </c>
      <c r="D13" s="7">
        <v>1.1977611940298507</v>
      </c>
      <c r="E13" s="7">
        <v>1.3731343283582091</v>
      </c>
      <c r="F13" s="7">
        <v>1</v>
      </c>
      <c r="G13" s="7">
        <v>2.0597014925373136</v>
      </c>
      <c r="H13" s="11">
        <v>1.5485074626865669</v>
      </c>
      <c r="I13" s="11">
        <v>13.712686567164173</v>
      </c>
      <c r="J13" s="8">
        <v>0</v>
      </c>
      <c r="K13" s="8">
        <v>0</v>
      </c>
      <c r="L13" s="8">
        <v>47.058823529411747</v>
      </c>
      <c r="M13" s="8">
        <v>0</v>
      </c>
      <c r="N13" s="8">
        <v>15.686274509803914</v>
      </c>
      <c r="O13" s="8">
        <v>11.764705882352935</v>
      </c>
      <c r="P13" s="8">
        <v>5.8823529411764675</v>
      </c>
      <c r="Q13" s="8">
        <v>1.9607843137254892</v>
      </c>
      <c r="R13" s="8">
        <v>13.725490196078423</v>
      </c>
      <c r="S13" s="8">
        <v>3.9215686274509785</v>
      </c>
      <c r="T13" s="10">
        <v>0.11940298507462686</v>
      </c>
      <c r="U13" s="8">
        <v>0.3541666666666668</v>
      </c>
      <c r="V13" s="14">
        <v>4.2288557213930364E-2</v>
      </c>
      <c r="W13" s="14">
        <f t="shared" si="0"/>
        <v>4.2288557213930362</v>
      </c>
      <c r="X13" s="8">
        <v>2.1156716417910446</v>
      </c>
      <c r="Y13" s="8">
        <v>2.7288557213930349</v>
      </c>
      <c r="Z13" s="8">
        <v>3.0724946695095952</v>
      </c>
      <c r="AA13" s="10">
        <v>2.6390073442312252</v>
      </c>
      <c r="AB13" s="10">
        <v>40.975183605780629</v>
      </c>
      <c r="AC13" s="10">
        <f t="shared" si="1"/>
        <v>80.361091368554057</v>
      </c>
    </row>
    <row r="14" spans="1:29" x14ac:dyDescent="0.3">
      <c r="A14" s="6" t="s">
        <v>32</v>
      </c>
      <c r="B14" s="7">
        <v>6</v>
      </c>
      <c r="C14" s="7">
        <v>2.65625</v>
      </c>
      <c r="D14" s="7">
        <v>1.0125</v>
      </c>
      <c r="E14" s="7">
        <v>1.1916666666666669</v>
      </c>
      <c r="F14" s="7">
        <v>1.0062500000000001</v>
      </c>
      <c r="G14" s="7">
        <v>2.0812499999999998</v>
      </c>
      <c r="H14" s="11">
        <v>1.5895833333333336</v>
      </c>
      <c r="I14" s="11">
        <v>14.739583333333339</v>
      </c>
      <c r="J14" s="8">
        <v>0</v>
      </c>
      <c r="K14" s="8">
        <v>0</v>
      </c>
      <c r="L14" s="8">
        <v>46.153846153846153</v>
      </c>
      <c r="M14" s="8">
        <v>0</v>
      </c>
      <c r="N14" s="8">
        <v>15.384615384615383</v>
      </c>
      <c r="O14" s="8">
        <v>7.6923076923076916</v>
      </c>
      <c r="P14" s="8">
        <v>7.6923076923076916</v>
      </c>
      <c r="Q14" s="8">
        <v>0</v>
      </c>
      <c r="R14" s="8">
        <v>15.384615384615383</v>
      </c>
      <c r="S14" s="8">
        <v>7.6923076923076916</v>
      </c>
      <c r="T14" s="10">
        <v>0.05</v>
      </c>
      <c r="U14" s="8">
        <v>0.36111111111111116</v>
      </c>
      <c r="V14" s="14">
        <v>1.8055555555555557E-2</v>
      </c>
      <c r="W14" s="14">
        <f t="shared" si="0"/>
        <v>1.8055555555555558</v>
      </c>
      <c r="X14" s="8">
        <v>2.2937500000000002</v>
      </c>
      <c r="Y14" s="8">
        <v>2.5499999999999998</v>
      </c>
      <c r="Z14" s="8">
        <v>3.0678571428571426</v>
      </c>
      <c r="AA14" s="10">
        <v>2.6372023809523806</v>
      </c>
      <c r="AB14" s="10">
        <v>40.930059523809511</v>
      </c>
      <c r="AC14" s="10">
        <f t="shared" si="1"/>
        <v>80.841600529100532</v>
      </c>
    </row>
    <row r="15" spans="1:29" x14ac:dyDescent="0.3">
      <c r="A15" s="6" t="s">
        <v>32</v>
      </c>
      <c r="B15" s="7">
        <v>7</v>
      </c>
      <c r="C15" s="7">
        <v>1.7295081967213115</v>
      </c>
      <c r="D15" s="7">
        <v>1.0532786885245902</v>
      </c>
      <c r="E15" s="7">
        <v>1.1693989071038253</v>
      </c>
      <c r="F15" s="7">
        <v>1.0204918032786885</v>
      </c>
      <c r="G15" s="7">
        <v>1.4344262295081966</v>
      </c>
      <c r="H15" s="11">
        <v>1.2814207650273222</v>
      </c>
      <c r="I15" s="11">
        <v>7.035519125683054</v>
      </c>
      <c r="J15" s="8">
        <v>6.8181818181818166</v>
      </c>
      <c r="K15" s="8">
        <v>6.8181818181818166</v>
      </c>
      <c r="L15" s="8">
        <v>40.909090909090892</v>
      </c>
      <c r="M15" s="8">
        <v>0</v>
      </c>
      <c r="N15" s="8">
        <v>13.636363636363633</v>
      </c>
      <c r="O15" s="8">
        <v>11.36363636363636</v>
      </c>
      <c r="P15" s="8">
        <v>4.5454545454545441</v>
      </c>
      <c r="Q15" s="8">
        <v>0</v>
      </c>
      <c r="R15" s="8">
        <v>15.909090909090903</v>
      </c>
      <c r="S15" s="8">
        <v>0</v>
      </c>
      <c r="T15" s="10">
        <v>0.11475409836065574</v>
      </c>
      <c r="U15" s="8">
        <v>0.3492063492063493</v>
      </c>
      <c r="V15" s="14">
        <v>4.0072859744990905E-2</v>
      </c>
      <c r="W15" s="14">
        <f t="shared" si="0"/>
        <v>4.0072859744990907</v>
      </c>
      <c r="X15" s="8">
        <v>1.971311475409836</v>
      </c>
      <c r="Y15" s="8">
        <v>2.6311475409836067</v>
      </c>
      <c r="Z15" s="8">
        <v>2.9274004683840746</v>
      </c>
      <c r="AA15" s="10">
        <v>2.5099531615925055</v>
      </c>
      <c r="AB15" s="10">
        <v>37.748829039812634</v>
      </c>
      <c r="AC15" s="10">
        <f t="shared" si="1"/>
        <v>83.736121953335072</v>
      </c>
    </row>
    <row r="16" spans="1:29" x14ac:dyDescent="0.3">
      <c r="A16" s="6" t="s">
        <v>32</v>
      </c>
      <c r="B16" s="7">
        <v>8</v>
      </c>
      <c r="C16" s="7">
        <v>1.8511904761904763</v>
      </c>
      <c r="D16" s="7">
        <v>1.2261904761904763</v>
      </c>
      <c r="E16" s="7">
        <v>1.5079365079365077</v>
      </c>
      <c r="F16" s="7">
        <v>1.0476190476190477</v>
      </c>
      <c r="G16" s="7">
        <v>2.2380952380952381</v>
      </c>
      <c r="H16" s="11">
        <v>1.5742063492063494</v>
      </c>
      <c r="I16" s="11">
        <v>14.355158730158735</v>
      </c>
      <c r="J16" s="8">
        <v>5.8823529411764701</v>
      </c>
      <c r="K16" s="8">
        <v>2.9411764705882351</v>
      </c>
      <c r="L16" s="8">
        <v>44.117647058823529</v>
      </c>
      <c r="M16" s="8">
        <v>0</v>
      </c>
      <c r="N16" s="8">
        <v>15.686274509803921</v>
      </c>
      <c r="O16" s="8">
        <v>14.705882352941178</v>
      </c>
      <c r="P16" s="8">
        <v>0.98039215686274506</v>
      </c>
      <c r="Q16" s="8">
        <v>0</v>
      </c>
      <c r="R16" s="8">
        <v>15.686274509803921</v>
      </c>
      <c r="S16" s="8">
        <v>0</v>
      </c>
      <c r="T16" s="10">
        <v>0.38095238095238093</v>
      </c>
      <c r="U16" s="8">
        <v>0.35416666666666669</v>
      </c>
      <c r="V16" s="14">
        <v>0.13492063492063491</v>
      </c>
      <c r="W16" s="14">
        <f t="shared" si="0"/>
        <v>13.492063492063492</v>
      </c>
      <c r="X16" s="8">
        <v>2.0595238095238093</v>
      </c>
      <c r="Y16" s="8">
        <v>2.71031746031746</v>
      </c>
      <c r="Z16" s="8">
        <v>3.0578231292517009</v>
      </c>
      <c r="AA16" s="10">
        <v>2.6092214663643229</v>
      </c>
      <c r="AB16" s="10">
        <v>40.230536659108076</v>
      </c>
      <c r="AC16" s="10">
        <f t="shared" si="1"/>
        <v>77.30741370622323</v>
      </c>
    </row>
    <row r="17" spans="1:31" x14ac:dyDescent="0.3">
      <c r="A17" s="6" t="s">
        <v>32</v>
      </c>
      <c r="B17" s="7">
        <v>9</v>
      </c>
      <c r="C17" s="7">
        <v>1.4375</v>
      </c>
      <c r="D17" s="7">
        <v>1.09375</v>
      </c>
      <c r="E17" s="7">
        <v>1.1111111111111112</v>
      </c>
      <c r="F17" s="7">
        <v>1.0104166666666667</v>
      </c>
      <c r="G17" s="7">
        <v>1.75</v>
      </c>
      <c r="H17" s="11">
        <v>1.2805555555555557</v>
      </c>
      <c r="I17" s="11">
        <v>7.0138888888888919</v>
      </c>
      <c r="J17" s="8">
        <v>0</v>
      </c>
      <c r="K17" s="8">
        <v>0</v>
      </c>
      <c r="L17" s="8">
        <v>49.999999999999986</v>
      </c>
      <c r="M17" s="8">
        <v>0</v>
      </c>
      <c r="N17" s="8">
        <v>16.666666666666661</v>
      </c>
      <c r="O17" s="8">
        <v>16.666666666666661</v>
      </c>
      <c r="P17" s="8">
        <v>0</v>
      </c>
      <c r="Q17" s="8">
        <v>0</v>
      </c>
      <c r="R17" s="8">
        <v>16.666666666666661</v>
      </c>
      <c r="S17" s="8">
        <v>0</v>
      </c>
      <c r="T17" s="10">
        <v>0.29166666666666669</v>
      </c>
      <c r="U17" s="8">
        <v>0.33333333333333343</v>
      </c>
      <c r="V17" s="14">
        <v>9.7222222222222252E-2</v>
      </c>
      <c r="W17" s="14">
        <f t="shared" si="0"/>
        <v>9.722222222222225</v>
      </c>
      <c r="X17" s="8">
        <v>2.1770833333333335</v>
      </c>
      <c r="Y17" s="8">
        <v>2.673611111111112</v>
      </c>
      <c r="Z17" s="8">
        <v>2.9166666666666674</v>
      </c>
      <c r="AA17" s="10">
        <v>2.5891203703703707</v>
      </c>
      <c r="AB17" s="10">
        <v>39.728009259259267</v>
      </c>
      <c r="AC17" s="10">
        <f t="shared" si="1"/>
        <v>81.178626543209873</v>
      </c>
    </row>
    <row r="18" spans="1:31" x14ac:dyDescent="0.3">
      <c r="A18" s="6" t="s">
        <v>32</v>
      </c>
      <c r="B18" s="7">
        <v>10</v>
      </c>
      <c r="C18" s="7">
        <v>1.8681818181818182</v>
      </c>
      <c r="D18" s="7">
        <v>1.1863636363636363</v>
      </c>
      <c r="E18" s="7">
        <v>1.2969696969696971</v>
      </c>
      <c r="F18" s="7">
        <v>1.009090909090909</v>
      </c>
      <c r="G18" s="7">
        <v>2.1818181818181817</v>
      </c>
      <c r="H18" s="11">
        <v>1.508484848484849</v>
      </c>
      <c r="I18" s="11">
        <v>12.712121212121225</v>
      </c>
      <c r="J18" s="8">
        <v>1.796407185628742</v>
      </c>
      <c r="K18" s="8">
        <v>0</v>
      </c>
      <c r="L18" s="8">
        <v>48.50299401197605</v>
      </c>
      <c r="M18" s="8">
        <v>0</v>
      </c>
      <c r="N18" s="8">
        <v>16.167664670658681</v>
      </c>
      <c r="O18" s="8">
        <v>16.167664670658681</v>
      </c>
      <c r="P18" s="8">
        <v>0.59880239520958078</v>
      </c>
      <c r="Q18" s="8">
        <v>0</v>
      </c>
      <c r="R18" s="8">
        <v>16.167664670658681</v>
      </c>
      <c r="S18" s="8">
        <v>0.59880239520958078</v>
      </c>
      <c r="T18" s="10">
        <v>0.49090909090909091</v>
      </c>
      <c r="U18" s="8">
        <v>0.34362139917695472</v>
      </c>
      <c r="V18" s="14">
        <v>0.16868686868686869</v>
      </c>
      <c r="W18" s="14">
        <f t="shared" si="0"/>
        <v>16.868686868686869</v>
      </c>
      <c r="X18" s="8">
        <v>2.1227272727272726</v>
      </c>
      <c r="Y18" s="8">
        <v>2.8484848484848486</v>
      </c>
      <c r="Z18" s="8">
        <v>3.1948051948051948</v>
      </c>
      <c r="AA18" s="10">
        <v>2.7220057720057729</v>
      </c>
      <c r="AB18" s="10">
        <v>43.050144300144325</v>
      </c>
      <c r="AC18" s="10">
        <f t="shared" si="1"/>
        <v>75.789682539682531</v>
      </c>
    </row>
    <row r="19" spans="1:31" x14ac:dyDescent="0.3">
      <c r="A19" s="6" t="s">
        <v>32</v>
      </c>
      <c r="B19" s="7">
        <v>11</v>
      </c>
      <c r="C19" s="7">
        <v>2.4245283018867925</v>
      </c>
      <c r="D19" s="7">
        <v>1</v>
      </c>
      <c r="E19" s="7">
        <v>1.0125786163522013</v>
      </c>
      <c r="F19" s="7">
        <v>1.0518867924528301</v>
      </c>
      <c r="G19" s="7">
        <v>2.1037735849056602</v>
      </c>
      <c r="H19" s="11">
        <v>1.5185534591194971</v>
      </c>
      <c r="I19" s="11">
        <v>12.963836477987428</v>
      </c>
      <c r="J19" s="8">
        <v>0</v>
      </c>
      <c r="K19" s="8">
        <v>0</v>
      </c>
      <c r="L19" s="8">
        <v>47.142857142857132</v>
      </c>
      <c r="M19" s="8">
        <v>0</v>
      </c>
      <c r="N19" s="8">
        <v>15.714285714285712</v>
      </c>
      <c r="O19" s="8">
        <v>15.714285714285712</v>
      </c>
      <c r="P19" s="8">
        <v>2.8571428571428559</v>
      </c>
      <c r="Q19" s="8">
        <v>1.4285714285714279</v>
      </c>
      <c r="R19" s="8">
        <v>15.714285714285712</v>
      </c>
      <c r="S19" s="8">
        <v>1.4285714285714279</v>
      </c>
      <c r="T19" s="10">
        <v>0.20754716981132076</v>
      </c>
      <c r="U19" s="8">
        <v>0.35353535353535359</v>
      </c>
      <c r="V19" s="14">
        <v>7.3375262054507354E-2</v>
      </c>
      <c r="W19" s="14">
        <f t="shared" si="0"/>
        <v>7.3375262054507351</v>
      </c>
      <c r="X19" s="8">
        <v>2.2264150943396226</v>
      </c>
      <c r="Y19" s="8">
        <v>2.5786163522012577</v>
      </c>
      <c r="Z19" s="8">
        <v>2.9757412398921823</v>
      </c>
      <c r="AA19" s="10">
        <v>2.593590895477687</v>
      </c>
      <c r="AB19" s="10">
        <v>39.839772386942172</v>
      </c>
      <c r="AC19" s="10">
        <f t="shared" si="1"/>
        <v>79.952954976539885</v>
      </c>
    </row>
    <row r="20" spans="1:31" x14ac:dyDescent="0.3">
      <c r="A20" s="6" t="s">
        <v>18</v>
      </c>
      <c r="B20" s="7">
        <v>1</v>
      </c>
      <c r="C20" s="8">
        <v>2.8210227272727271</v>
      </c>
      <c r="D20" s="8">
        <v>2.78125</v>
      </c>
      <c r="E20" s="8">
        <v>2.7234848484848486</v>
      </c>
      <c r="F20" s="8">
        <v>1.9488636363636365</v>
      </c>
      <c r="G20" s="8">
        <v>2.4119318181818183</v>
      </c>
      <c r="H20" s="10">
        <v>2.5373106060606054</v>
      </c>
      <c r="I20" s="10">
        <f>(H20-1)/4*100</f>
        <v>38.432765151515135</v>
      </c>
      <c r="J20" s="8">
        <v>2.2988505747126431</v>
      </c>
      <c r="K20" s="8">
        <v>1.1494252873563215</v>
      </c>
      <c r="L20" s="8">
        <v>33.333333333333329</v>
      </c>
      <c r="M20" s="8">
        <v>29.885057471264364</v>
      </c>
      <c r="N20" s="8">
        <v>6.1302681992337158</v>
      </c>
      <c r="O20" s="8">
        <v>9.1954022988505724</v>
      </c>
      <c r="P20" s="8">
        <v>9.5785440613026811</v>
      </c>
      <c r="Q20" s="8">
        <v>0.38314176245210724</v>
      </c>
      <c r="R20" s="8">
        <v>6.8965517241379306</v>
      </c>
      <c r="S20" s="8">
        <v>1.1494252873563215</v>
      </c>
      <c r="T20" s="10">
        <v>0.32954545454545453</v>
      </c>
      <c r="U20" s="8">
        <v>0.50000000000000011</v>
      </c>
      <c r="V20" s="14">
        <v>0.16477272727272729</v>
      </c>
      <c r="W20" s="14">
        <f t="shared" si="0"/>
        <v>16.47727272727273</v>
      </c>
      <c r="X20" s="8">
        <v>2.3551136363636362</v>
      </c>
      <c r="Y20" s="8">
        <v>2.4583333333333335</v>
      </c>
      <c r="Z20" s="8">
        <v>3.5681818181818183</v>
      </c>
      <c r="AA20" s="10">
        <v>2.793876262626263</v>
      </c>
      <c r="AB20" s="10">
        <v>44.846906565656575</v>
      </c>
      <c r="AC20" s="10">
        <f t="shared" si="1"/>
        <v>66.74768518518519</v>
      </c>
    </row>
    <row r="21" spans="1:31" x14ac:dyDescent="0.3">
      <c r="A21" s="6" t="s">
        <v>18</v>
      </c>
      <c r="B21" s="7">
        <v>2</v>
      </c>
      <c r="C21" s="8">
        <v>2.8414634146341462</v>
      </c>
      <c r="D21" s="8">
        <v>2.7682926829268291</v>
      </c>
      <c r="E21" s="8">
        <v>2.9512195121951219</v>
      </c>
      <c r="F21" s="8">
        <v>1.9247967479674797</v>
      </c>
      <c r="G21" s="8">
        <v>2.7560975609756095</v>
      </c>
      <c r="H21" s="10">
        <v>2.6483739837398375</v>
      </c>
      <c r="I21" s="10">
        <f>(H21-1)/4*100</f>
        <v>41.209349593495936</v>
      </c>
      <c r="J21" s="8">
        <v>0.87209302325581395</v>
      </c>
      <c r="K21" s="8">
        <v>2.6162790697674416</v>
      </c>
      <c r="L21" s="8">
        <v>31.395348837209301</v>
      </c>
      <c r="M21" s="8">
        <v>28.779069767441861</v>
      </c>
      <c r="N21" s="8">
        <v>8.1395348837209287</v>
      </c>
      <c r="O21" s="8">
        <v>10.755813953488373</v>
      </c>
      <c r="P21" s="8">
        <v>8.720930232558139</v>
      </c>
      <c r="Q21" s="8">
        <v>0.29069767441860467</v>
      </c>
      <c r="R21" s="8">
        <v>7.5581395348837219</v>
      </c>
      <c r="S21" s="8">
        <v>0.87209302325581395</v>
      </c>
      <c r="T21" s="10">
        <v>0.31707317073170732</v>
      </c>
      <c r="U21" s="8">
        <v>0.49002849002849003</v>
      </c>
      <c r="V21" s="14">
        <v>0.15537488708220415</v>
      </c>
      <c r="W21" s="14">
        <f t="shared" si="0"/>
        <v>15.537488708220415</v>
      </c>
      <c r="X21" s="8">
        <v>2.4695121951219514</v>
      </c>
      <c r="Y21" s="8">
        <v>2.5582655826558267</v>
      </c>
      <c r="Z21" s="8">
        <v>3.5354239256678262</v>
      </c>
      <c r="AA21" s="10">
        <v>2.8544005678152033</v>
      </c>
      <c r="AB21" s="10">
        <v>46.360014195380082</v>
      </c>
      <c r="AC21" s="10">
        <f t="shared" si="1"/>
        <v>65.631049167634529</v>
      </c>
      <c r="AE21" s="3">
        <f>AVERAGE(AC20:AC28)</f>
        <v>64.713972158324182</v>
      </c>
    </row>
    <row r="22" spans="1:31" x14ac:dyDescent="0.3">
      <c r="A22" s="6" t="s">
        <v>18</v>
      </c>
      <c r="B22" s="7">
        <v>3</v>
      </c>
      <c r="C22" s="8">
        <v>2.7773109243697478</v>
      </c>
      <c r="D22" s="8">
        <v>2.6134453781512605</v>
      </c>
      <c r="E22" s="8">
        <v>2.8627450980392153</v>
      </c>
      <c r="F22" s="8">
        <v>1.8907563025210083</v>
      </c>
      <c r="G22" s="8">
        <v>2.4873949579831933</v>
      </c>
      <c r="H22" s="10">
        <v>2.5263305322128846</v>
      </c>
      <c r="I22" s="10">
        <f>(H22-1)/4*100</f>
        <v>38.158263305322116</v>
      </c>
      <c r="J22" s="8">
        <v>0.85959885386819468</v>
      </c>
      <c r="K22" s="8">
        <v>2.5787965616045843</v>
      </c>
      <c r="L22" s="8">
        <v>32.664756446991397</v>
      </c>
      <c r="M22" s="8">
        <v>27.50716332378223</v>
      </c>
      <c r="N22" s="8">
        <v>8.5959885386819472</v>
      </c>
      <c r="O22" s="8">
        <v>9.7421203438395398</v>
      </c>
      <c r="P22" s="8">
        <v>8.5959885386819472</v>
      </c>
      <c r="Q22" s="8">
        <v>0.8595988538681949</v>
      </c>
      <c r="R22" s="8">
        <v>6.5902578796561597</v>
      </c>
      <c r="S22" s="8">
        <v>2.005730659025788</v>
      </c>
      <c r="T22" s="10">
        <v>0.32773109243697479</v>
      </c>
      <c r="U22" s="8">
        <v>0.49715099715099714</v>
      </c>
      <c r="V22" s="14">
        <v>0.16293183940242764</v>
      </c>
      <c r="W22" s="14">
        <f t="shared" si="0"/>
        <v>16.293183940242763</v>
      </c>
      <c r="X22" s="8">
        <v>2.3571428571428572</v>
      </c>
      <c r="Y22" s="8">
        <v>2.5042016806722667</v>
      </c>
      <c r="Z22" s="8">
        <v>3.2713085234093633</v>
      </c>
      <c r="AA22" s="10">
        <v>2.7108843537414979</v>
      </c>
      <c r="AB22" s="10">
        <v>42.772108843537445</v>
      </c>
      <c r="AC22" s="10">
        <f t="shared" si="1"/>
        <v>67.592147970299237</v>
      </c>
    </row>
    <row r="23" spans="1:31" x14ac:dyDescent="0.3">
      <c r="A23" s="6" t="s">
        <v>18</v>
      </c>
      <c r="B23" s="7">
        <v>4</v>
      </c>
      <c r="C23" s="8">
        <v>2.375</v>
      </c>
      <c r="D23" s="8">
        <v>2.1689189189189189</v>
      </c>
      <c r="E23" s="8">
        <v>2.5810810810810816</v>
      </c>
      <c r="F23" s="8">
        <v>1.9797297297297298</v>
      </c>
      <c r="G23" s="8">
        <v>2.2297297297297298</v>
      </c>
      <c r="H23" s="10">
        <v>2.2668918918918921</v>
      </c>
      <c r="I23" s="10">
        <v>31.672297297297302</v>
      </c>
      <c r="J23" s="8">
        <v>0</v>
      </c>
      <c r="K23" s="8">
        <v>3.8834951456310676</v>
      </c>
      <c r="L23" s="8">
        <v>34.95145631067961</v>
      </c>
      <c r="M23" s="8">
        <v>31.067961165048541</v>
      </c>
      <c r="N23" s="8">
        <v>5.1779935275080904</v>
      </c>
      <c r="O23" s="8">
        <v>9.3851132686084124</v>
      </c>
      <c r="P23" s="8">
        <v>7.1197411003236235</v>
      </c>
      <c r="Q23" s="8">
        <v>0</v>
      </c>
      <c r="R23" s="8">
        <v>7.7669902912621351</v>
      </c>
      <c r="S23" s="8">
        <v>0.6472491909385113</v>
      </c>
      <c r="T23" s="10">
        <v>0.48648648648648651</v>
      </c>
      <c r="U23" s="8">
        <v>0.47685185185185186</v>
      </c>
      <c r="V23" s="14">
        <v>0.231981981981982</v>
      </c>
      <c r="W23" s="14">
        <f t="shared" si="0"/>
        <v>23.198198198198199</v>
      </c>
      <c r="X23" s="8">
        <v>2.3074324324324325</v>
      </c>
      <c r="Y23" s="8">
        <v>2.7927927927927936</v>
      </c>
      <c r="Z23" s="8">
        <v>3.2162162162162162</v>
      </c>
      <c r="AA23" s="10">
        <v>2.7721471471471468</v>
      </c>
      <c r="AB23" s="10">
        <v>44.303678678678672</v>
      </c>
      <c r="AC23" s="10">
        <f t="shared" si="1"/>
        <v>66.941941941941934</v>
      </c>
    </row>
    <row r="24" spans="1:31" x14ac:dyDescent="0.3">
      <c r="A24" s="6" t="s">
        <v>18</v>
      </c>
      <c r="B24" s="7">
        <v>5</v>
      </c>
      <c r="C24" s="8">
        <v>2.673228346456693</v>
      </c>
      <c r="D24" s="8">
        <v>2.8681102362204722</v>
      </c>
      <c r="E24" s="8">
        <v>2.8451443569553794</v>
      </c>
      <c r="F24" s="8">
        <v>1.889763779527559</v>
      </c>
      <c r="G24" s="8">
        <v>2.9448818897637796</v>
      </c>
      <c r="H24" s="10">
        <v>2.6442257217847756</v>
      </c>
      <c r="I24" s="10">
        <v>41.105643044619391</v>
      </c>
      <c r="J24" s="8">
        <v>0</v>
      </c>
      <c r="K24" s="8">
        <v>0.55045871559633008</v>
      </c>
      <c r="L24" s="8">
        <v>31.92660550458714</v>
      </c>
      <c r="M24" s="8">
        <v>24.220183486238518</v>
      </c>
      <c r="N24" s="8">
        <v>8.8073394495412813</v>
      </c>
      <c r="O24" s="8">
        <v>8.6238532110091697</v>
      </c>
      <c r="P24" s="8">
        <v>10.458715596330268</v>
      </c>
      <c r="Q24" s="8">
        <v>4.03669724770642</v>
      </c>
      <c r="R24" s="8">
        <v>9.724770642201829</v>
      </c>
      <c r="S24" s="8">
        <v>1.6513761467889898</v>
      </c>
      <c r="T24" s="10">
        <v>0.46456692913385828</v>
      </c>
      <c r="U24" s="8">
        <v>0.5131826741996236</v>
      </c>
      <c r="V24" s="14">
        <v>0.23840769903762041</v>
      </c>
      <c r="W24" s="14">
        <f t="shared" si="0"/>
        <v>23.840769903762041</v>
      </c>
      <c r="X24" s="8">
        <v>2.5885826771653542</v>
      </c>
      <c r="Y24" s="8">
        <v>2.7834645669291347</v>
      </c>
      <c r="Z24" s="8">
        <v>3.4983127109111374</v>
      </c>
      <c r="AA24" s="10">
        <v>2.9567866516685406</v>
      </c>
      <c r="AB24" s="10">
        <v>48.919666291713511</v>
      </c>
      <c r="AC24" s="10">
        <f t="shared" si="1"/>
        <v>62.044640253301687</v>
      </c>
    </row>
    <row r="25" spans="1:31" x14ac:dyDescent="0.3">
      <c r="A25" s="6" t="s">
        <v>18</v>
      </c>
      <c r="B25" s="7">
        <v>6</v>
      </c>
      <c r="C25" s="8">
        <v>2.98</v>
      </c>
      <c r="D25" s="8">
        <v>2.88</v>
      </c>
      <c r="E25" s="8">
        <v>2.9111111111111123</v>
      </c>
      <c r="F25" s="8">
        <v>1.94</v>
      </c>
      <c r="G25" s="8">
        <v>3.0366666666666666</v>
      </c>
      <c r="H25" s="10">
        <v>2.7495555555555584</v>
      </c>
      <c r="I25" s="10">
        <v>43.738888888888958</v>
      </c>
      <c r="J25" s="8">
        <v>0</v>
      </c>
      <c r="K25" s="8">
        <v>0</v>
      </c>
      <c r="L25" s="8">
        <v>33.818181818181806</v>
      </c>
      <c r="M25" s="8">
        <v>22.909090909090899</v>
      </c>
      <c r="N25" s="8">
        <v>10.545454545454541</v>
      </c>
      <c r="O25" s="8">
        <v>7.9999999999999964</v>
      </c>
      <c r="P25" s="8">
        <v>10.545454545454541</v>
      </c>
      <c r="Q25" s="8">
        <v>0</v>
      </c>
      <c r="R25" s="8">
        <v>10.909090909090907</v>
      </c>
      <c r="S25" s="8">
        <v>3.2727272727272716</v>
      </c>
      <c r="T25" s="10">
        <v>0.42666666666666669</v>
      </c>
      <c r="U25" s="8">
        <v>0.47743055555555569</v>
      </c>
      <c r="V25" s="14">
        <v>0.20370370370370378</v>
      </c>
      <c r="W25" s="14">
        <f t="shared" si="0"/>
        <v>20.370370370370377</v>
      </c>
      <c r="X25" s="8">
        <v>2.5866666666666664</v>
      </c>
      <c r="Y25" s="8">
        <v>2.8911111111111114</v>
      </c>
      <c r="Z25" s="8">
        <v>3.5390476190476194</v>
      </c>
      <c r="AA25" s="10">
        <v>3.0056084656084661</v>
      </c>
      <c r="AB25" s="10">
        <v>50.140211640211653</v>
      </c>
      <c r="AC25" s="10">
        <f t="shared" si="1"/>
        <v>61.916843033509672</v>
      </c>
    </row>
    <row r="26" spans="1:31" x14ac:dyDescent="0.3">
      <c r="A26" s="6" t="s">
        <v>18</v>
      </c>
      <c r="B26" s="7">
        <v>7</v>
      </c>
      <c r="C26" s="8">
        <v>3.3676470588235294</v>
      </c>
      <c r="D26" s="8">
        <v>3.0686274509803924</v>
      </c>
      <c r="E26" s="8">
        <v>3.2614379084967315</v>
      </c>
      <c r="F26" s="8">
        <v>2.4901960784313726</v>
      </c>
      <c r="G26" s="8">
        <v>3.4313725490196076</v>
      </c>
      <c r="H26" s="10">
        <v>3.1238562091503268</v>
      </c>
      <c r="I26" s="10">
        <v>53.096405228758172</v>
      </c>
      <c r="J26" s="8">
        <v>0</v>
      </c>
      <c r="K26" s="8">
        <v>5.1282051282051277</v>
      </c>
      <c r="L26" s="8">
        <v>34.615384615384613</v>
      </c>
      <c r="M26" s="8">
        <v>17.948717948717952</v>
      </c>
      <c r="N26" s="8">
        <v>8.5470085470085468</v>
      </c>
      <c r="O26" s="8">
        <v>5.5555555555555554</v>
      </c>
      <c r="P26" s="8">
        <v>10.683760683760683</v>
      </c>
      <c r="Q26" s="8">
        <v>2.9914529914529915</v>
      </c>
      <c r="R26" s="8">
        <v>11.111111111111111</v>
      </c>
      <c r="S26" s="8">
        <v>3.4188034188034186</v>
      </c>
      <c r="T26" s="10">
        <v>0.52941176470588236</v>
      </c>
      <c r="U26" s="8">
        <v>0.48148148148148145</v>
      </c>
      <c r="V26" s="14">
        <v>0.25490196078431371</v>
      </c>
      <c r="W26" s="14">
        <f t="shared" si="0"/>
        <v>25.490196078431371</v>
      </c>
      <c r="X26" s="8">
        <v>2.7107843137254903</v>
      </c>
      <c r="Y26" s="8">
        <v>3.3398692810457513</v>
      </c>
      <c r="Z26" s="8">
        <v>3.5182072829131643</v>
      </c>
      <c r="AA26" s="10">
        <v>3.1896202925614681</v>
      </c>
      <c r="AB26" s="10">
        <v>54.740507314036705</v>
      </c>
      <c r="AC26" s="10">
        <f t="shared" si="1"/>
        <v>55.557630459591252</v>
      </c>
    </row>
    <row r="27" spans="1:31" x14ac:dyDescent="0.3">
      <c r="A27" s="6" t="s">
        <v>18</v>
      </c>
      <c r="B27" s="7">
        <v>8</v>
      </c>
      <c r="C27" s="8">
        <v>3.0327380952380953</v>
      </c>
      <c r="D27" s="8">
        <v>2.7976190476190474</v>
      </c>
      <c r="E27" s="8">
        <v>3.3611111111111103</v>
      </c>
      <c r="F27" s="8">
        <v>1.8035714285714286</v>
      </c>
      <c r="G27" s="8">
        <v>2.4166666666666665</v>
      </c>
      <c r="H27" s="10">
        <v>2.682341269841269</v>
      </c>
      <c r="I27" s="10">
        <v>42.058531746031726</v>
      </c>
      <c r="J27" s="8">
        <v>3.7974683544303787</v>
      </c>
      <c r="K27" s="8">
        <v>13.291139240506325</v>
      </c>
      <c r="L27" s="8">
        <v>37.974683544303787</v>
      </c>
      <c r="M27" s="8">
        <v>7.5949367088607573</v>
      </c>
      <c r="N27" s="8">
        <v>7.5949367088607573</v>
      </c>
      <c r="O27" s="8">
        <v>7.5949367088607573</v>
      </c>
      <c r="P27" s="8">
        <v>6.9620253164556933</v>
      </c>
      <c r="Q27" s="8">
        <v>0</v>
      </c>
      <c r="R27" s="8">
        <v>10.126582278481008</v>
      </c>
      <c r="S27" s="8">
        <v>5.063291139240504</v>
      </c>
      <c r="T27" s="10">
        <v>0.25</v>
      </c>
      <c r="U27" s="8">
        <v>0.41798941798941813</v>
      </c>
      <c r="V27" s="14">
        <v>0.10449735449735453</v>
      </c>
      <c r="W27" s="14">
        <f t="shared" si="0"/>
        <v>10.449735449735453</v>
      </c>
      <c r="X27" s="8">
        <v>2.3214285714285716</v>
      </c>
      <c r="Y27" s="8">
        <v>2.4781746031746033</v>
      </c>
      <c r="Z27" s="8">
        <v>3.6054421768707479</v>
      </c>
      <c r="AA27" s="10">
        <v>2.8016817838246393</v>
      </c>
      <c r="AB27" s="10">
        <v>45.042044595615984</v>
      </c>
      <c r="AC27" s="10">
        <f t="shared" si="1"/>
        <v>67.483229402872269</v>
      </c>
    </row>
    <row r="28" spans="1:31" x14ac:dyDescent="0.3">
      <c r="A28" s="6" t="s">
        <v>18</v>
      </c>
      <c r="B28" s="7">
        <v>9</v>
      </c>
      <c r="C28" s="8">
        <v>2.6235294117647059</v>
      </c>
      <c r="D28" s="8">
        <v>2.5147058823529411</v>
      </c>
      <c r="E28" s="8">
        <v>2.933333333333334</v>
      </c>
      <c r="F28" s="8">
        <v>1.7970588235294118</v>
      </c>
      <c r="G28" s="8">
        <v>2.1823529411764704</v>
      </c>
      <c r="H28" s="10">
        <v>2.4101960784313725</v>
      </c>
      <c r="I28" s="10">
        <v>35.254901960784309</v>
      </c>
      <c r="J28" s="8">
        <v>0</v>
      </c>
      <c r="K28" s="8">
        <v>0</v>
      </c>
      <c r="L28" s="8">
        <v>36.090225563909769</v>
      </c>
      <c r="M28" s="8">
        <v>29.323308270676691</v>
      </c>
      <c r="N28" s="8">
        <v>6.0150375939849612</v>
      </c>
      <c r="O28" s="8">
        <v>10.526315789473681</v>
      </c>
      <c r="P28" s="8">
        <v>9.3984962406015029</v>
      </c>
      <c r="Q28" s="8">
        <v>0</v>
      </c>
      <c r="R28" s="8">
        <v>6.7669172932330826</v>
      </c>
      <c r="S28" s="8">
        <v>1.8796992481203003</v>
      </c>
      <c r="T28" s="10">
        <v>0.37647058823529411</v>
      </c>
      <c r="U28" s="8">
        <v>0.46180555555555564</v>
      </c>
      <c r="V28" s="14">
        <v>0.17385620915032682</v>
      </c>
      <c r="W28" s="14">
        <f t="shared" si="0"/>
        <v>17.385620915032682</v>
      </c>
      <c r="X28" s="8">
        <v>2.0647058823529414</v>
      </c>
      <c r="Y28" s="8">
        <v>2.5294117647058818</v>
      </c>
      <c r="Z28" s="8">
        <v>3.4252100840336124</v>
      </c>
      <c r="AA28" s="10">
        <v>2.6731092436974779</v>
      </c>
      <c r="AB28" s="10">
        <v>41.827731092436949</v>
      </c>
      <c r="AC28" s="10">
        <f t="shared" si="1"/>
        <v>68.510582010582013</v>
      </c>
    </row>
    <row r="29" spans="1:31" x14ac:dyDescent="0.3">
      <c r="A29" s="6" t="s">
        <v>33</v>
      </c>
      <c r="B29" s="7">
        <v>1</v>
      </c>
      <c r="C29" s="7">
        <v>1.4763157894736842</v>
      </c>
      <c r="D29" s="7">
        <v>1.3078947368421052</v>
      </c>
      <c r="E29" s="7">
        <v>2.7929824561403507</v>
      </c>
      <c r="F29" s="7">
        <v>1.1447368421052631</v>
      </c>
      <c r="G29" s="7">
        <v>1.918421052631579</v>
      </c>
      <c r="H29" s="11">
        <v>1.7280701754385972</v>
      </c>
      <c r="I29" s="10">
        <v>18.201754385964929</v>
      </c>
      <c r="J29" s="8">
        <v>25.698324022346362</v>
      </c>
      <c r="K29" s="8">
        <v>24.581005586592173</v>
      </c>
      <c r="L29" s="8">
        <v>14.525139664804469</v>
      </c>
      <c r="M29" s="8">
        <v>12.849162011173181</v>
      </c>
      <c r="N29" s="8">
        <v>10.428305400372437</v>
      </c>
      <c r="O29" s="8">
        <v>4.0968342644320286</v>
      </c>
      <c r="P29" s="8">
        <v>0</v>
      </c>
      <c r="Q29" s="8">
        <v>0</v>
      </c>
      <c r="R29" s="8">
        <v>7.2625698324022343</v>
      </c>
      <c r="S29" s="8">
        <v>0.55865921787709494</v>
      </c>
      <c r="T29" s="10">
        <v>0.63157894736842102</v>
      </c>
      <c r="U29" s="8">
        <v>0.49722222222222229</v>
      </c>
      <c r="V29" s="14">
        <v>0.31403508771929828</v>
      </c>
      <c r="W29" s="14">
        <v>31.403508771929829</v>
      </c>
      <c r="X29" s="8">
        <v>3.5263157894736841</v>
      </c>
      <c r="Y29" s="8">
        <v>2.4789473684210521</v>
      </c>
      <c r="Z29" s="8">
        <v>3.2526315789473692</v>
      </c>
      <c r="AA29" s="10">
        <v>3.0859649122807027</v>
      </c>
      <c r="AB29" s="10">
        <v>52.149122807017569</v>
      </c>
      <c r="AC29" s="10">
        <v>66.081871345029214</v>
      </c>
    </row>
    <row r="30" spans="1:31" x14ac:dyDescent="0.3">
      <c r="A30" s="6" t="s">
        <v>33</v>
      </c>
      <c r="B30" s="7">
        <v>2</v>
      </c>
      <c r="C30" s="7">
        <v>2.888157894736842</v>
      </c>
      <c r="D30" s="7">
        <v>2.9605263157894739</v>
      </c>
      <c r="E30" s="7">
        <v>2.9561403508771931</v>
      </c>
      <c r="F30" s="7">
        <v>2.9802631578947367</v>
      </c>
      <c r="G30" s="7">
        <v>2.8815789473684212</v>
      </c>
      <c r="H30" s="11">
        <v>2.9333333333333336</v>
      </c>
      <c r="I30" s="10">
        <v>48.333333333333343</v>
      </c>
      <c r="J30" s="8">
        <v>15.189873417721516</v>
      </c>
      <c r="K30" s="8">
        <v>15.189873417721516</v>
      </c>
      <c r="L30" s="8">
        <v>32.278481012658219</v>
      </c>
      <c r="M30" s="8">
        <v>3.7974683544303791</v>
      </c>
      <c r="N30" s="8">
        <v>12.658227848101264</v>
      </c>
      <c r="O30" s="8">
        <v>9.4936708860759484</v>
      </c>
      <c r="P30" s="8">
        <v>0</v>
      </c>
      <c r="Q30" s="8">
        <v>0</v>
      </c>
      <c r="R30" s="8">
        <v>10.126582278481012</v>
      </c>
      <c r="S30" s="8">
        <v>1.2658227848101264</v>
      </c>
      <c r="T30" s="10">
        <v>0.52631578947368418</v>
      </c>
      <c r="U30" s="8">
        <v>0.43888888888888894</v>
      </c>
      <c r="V30" s="14">
        <v>0.23099415204678364</v>
      </c>
      <c r="W30" s="14">
        <v>23.099415204678365</v>
      </c>
      <c r="X30" s="8">
        <v>3.7171052631578947</v>
      </c>
      <c r="Y30" s="8">
        <v>3.7543859649122822</v>
      </c>
      <c r="Z30" s="8">
        <v>3.7894736842105261</v>
      </c>
      <c r="AA30" s="10">
        <v>3.753654970760234</v>
      </c>
      <c r="AB30" s="10">
        <v>68.841374269005854</v>
      </c>
      <c r="AC30" s="10">
        <v>53.241959064327482</v>
      </c>
    </row>
    <row r="31" spans="1:31" x14ac:dyDescent="0.3">
      <c r="A31" s="6" t="s">
        <v>33</v>
      </c>
      <c r="B31" s="7">
        <v>3</v>
      </c>
      <c r="C31" s="7">
        <v>2.8919753086419755</v>
      </c>
      <c r="D31" s="7">
        <v>2.1666666666666665</v>
      </c>
      <c r="E31" s="7">
        <v>4.2716049382716061</v>
      </c>
      <c r="F31" s="7">
        <v>1.2777777777777777</v>
      </c>
      <c r="G31" s="7">
        <v>2.0493827160493829</v>
      </c>
      <c r="H31" s="11">
        <v>2.5314814814814817</v>
      </c>
      <c r="I31" s="10">
        <v>38.287037037037038</v>
      </c>
      <c r="J31" s="8">
        <v>8.9552238805970141</v>
      </c>
      <c r="K31" s="8">
        <v>10.44776119402985</v>
      </c>
      <c r="L31" s="8">
        <v>40.298507462686558</v>
      </c>
      <c r="M31" s="8">
        <v>4.4776119402985071</v>
      </c>
      <c r="N31" s="8">
        <v>12.935323383084574</v>
      </c>
      <c r="O31" s="8">
        <v>7.4626865671641767</v>
      </c>
      <c r="P31" s="8">
        <v>0</v>
      </c>
      <c r="Q31" s="8">
        <v>0</v>
      </c>
      <c r="R31" s="8">
        <v>11.442786069651739</v>
      </c>
      <c r="S31" s="8">
        <v>3.9800995024875614</v>
      </c>
      <c r="T31" s="10">
        <v>0.33333333333333331</v>
      </c>
      <c r="U31" s="8">
        <v>0.41358024691358031</v>
      </c>
      <c r="V31" s="14">
        <v>0.13786008230452676</v>
      </c>
      <c r="W31" s="14">
        <v>13.786008230452676</v>
      </c>
      <c r="X31" s="8">
        <v>2.4320987654320989</v>
      </c>
      <c r="Y31" s="8">
        <v>2.6399176954732506</v>
      </c>
      <c r="Z31" s="8">
        <v>3.3756613756613745</v>
      </c>
      <c r="AA31" s="10">
        <v>2.8158926121889079</v>
      </c>
      <c r="AB31" s="10">
        <v>45.397315304722696</v>
      </c>
      <c r="AC31" s="10">
        <v>67.509879809262529</v>
      </c>
    </row>
    <row r="32" spans="1:31" x14ac:dyDescent="0.3">
      <c r="A32" s="6" t="s">
        <v>33</v>
      </c>
      <c r="B32" s="7">
        <v>4</v>
      </c>
      <c r="C32" s="7">
        <v>1.3967391304347827</v>
      </c>
      <c r="D32" s="7">
        <v>1.2228260869565217</v>
      </c>
      <c r="E32" s="7">
        <v>2.8297101449275366</v>
      </c>
      <c r="F32" s="7">
        <v>1.1956521739130435</v>
      </c>
      <c r="G32" s="7">
        <v>2.4375</v>
      </c>
      <c r="H32" s="11">
        <v>1.8164855072463768</v>
      </c>
      <c r="I32" s="10">
        <v>20.412137681159422</v>
      </c>
      <c r="J32" s="8">
        <v>26.557377049180342</v>
      </c>
      <c r="K32" s="8">
        <v>22.622950819672141</v>
      </c>
      <c r="L32" s="8">
        <v>18.196721311475418</v>
      </c>
      <c r="M32" s="8">
        <v>9.3442622950819718</v>
      </c>
      <c r="N32" s="8">
        <v>10.655737704918039</v>
      </c>
      <c r="O32" s="8">
        <v>3.77049180327869</v>
      </c>
      <c r="P32" s="8">
        <v>0.4918032786885248</v>
      </c>
      <c r="Q32" s="8">
        <v>0.1639344262295083</v>
      </c>
      <c r="R32" s="8">
        <v>7.7049180327868889</v>
      </c>
      <c r="S32" s="8">
        <v>0.4918032786885248</v>
      </c>
      <c r="T32" s="10">
        <v>0.70652173913043481</v>
      </c>
      <c r="U32" s="8">
        <v>0.52136752136752107</v>
      </c>
      <c r="V32" s="14">
        <v>0.36835748792270512</v>
      </c>
      <c r="W32" s="14">
        <v>36.835748792270515</v>
      </c>
      <c r="X32" s="8">
        <v>3.1548913043478262</v>
      </c>
      <c r="Y32" s="8">
        <v>2.510869565217392</v>
      </c>
      <c r="Z32" s="8">
        <v>3.1754658385093175</v>
      </c>
      <c r="AA32" s="10">
        <v>2.9470755693581778</v>
      </c>
      <c r="AB32" s="10">
        <v>48.676889233954448</v>
      </c>
      <c r="AC32" s="10">
        <v>64.691741430871872</v>
      </c>
    </row>
    <row r="33" spans="1:29" x14ac:dyDescent="0.3">
      <c r="A33" s="6" t="s">
        <v>33</v>
      </c>
      <c r="B33" s="7">
        <v>5</v>
      </c>
      <c r="C33" s="7">
        <v>1.9305555555555556</v>
      </c>
      <c r="D33" s="7">
        <v>2.0555555555555554</v>
      </c>
      <c r="E33" s="7">
        <v>1.9722222222222219</v>
      </c>
      <c r="F33" s="7">
        <v>1.9444444444444444</v>
      </c>
      <c r="G33" s="7">
        <v>1.875</v>
      </c>
      <c r="H33" s="11">
        <v>1.9555555555555557</v>
      </c>
      <c r="I33" s="10">
        <v>23.888888888888893</v>
      </c>
      <c r="J33" s="8">
        <v>10.526315789473687</v>
      </c>
      <c r="K33" s="8">
        <v>10.526315789473687</v>
      </c>
      <c r="L33" s="8">
        <v>26.315789473684216</v>
      </c>
      <c r="M33" s="8">
        <v>10.526315789473687</v>
      </c>
      <c r="N33" s="8">
        <v>14.035087719298248</v>
      </c>
      <c r="O33" s="8">
        <v>12.280701754385968</v>
      </c>
      <c r="P33" s="8">
        <v>0</v>
      </c>
      <c r="Q33" s="8">
        <v>0</v>
      </c>
      <c r="R33" s="8">
        <v>14.035087719298248</v>
      </c>
      <c r="S33" s="8">
        <v>1.754385964912281</v>
      </c>
      <c r="T33" s="10">
        <v>0.44444444444444442</v>
      </c>
      <c r="U33" s="8">
        <v>0.39583333333333326</v>
      </c>
      <c r="V33" s="14">
        <v>0.17592592592592587</v>
      </c>
      <c r="W33" s="14">
        <v>17.592592592592588</v>
      </c>
      <c r="X33" s="8">
        <v>2.7152777777777777</v>
      </c>
      <c r="Y33" s="8">
        <v>2.6435185185185182</v>
      </c>
      <c r="Z33" s="8">
        <v>2.7380952380952377</v>
      </c>
      <c r="AA33" s="10">
        <v>2.698963844797178</v>
      </c>
      <c r="AB33" s="10">
        <v>42.474096119929449</v>
      </c>
      <c r="AC33" s="10">
        <v>72.014807466196359</v>
      </c>
    </row>
    <row r="34" spans="1:29" x14ac:dyDescent="0.3">
      <c r="A34" s="6" t="s">
        <v>33</v>
      </c>
      <c r="B34" s="7">
        <v>6</v>
      </c>
      <c r="C34" s="7">
        <v>2.5260416666666665</v>
      </c>
      <c r="D34" s="7">
        <v>2.21875</v>
      </c>
      <c r="E34" s="7">
        <v>1.9236111111111109</v>
      </c>
      <c r="F34" s="7">
        <v>2.1979166666666665</v>
      </c>
      <c r="G34" s="7">
        <v>2.4427083333333335</v>
      </c>
      <c r="H34" s="11">
        <v>2.2618055555555552</v>
      </c>
      <c r="I34" s="10">
        <v>31.545138888888879</v>
      </c>
      <c r="J34" s="8">
        <v>27.272727272727266</v>
      </c>
      <c r="K34" s="8">
        <v>9.9173553719008254</v>
      </c>
      <c r="L34" s="8">
        <v>32.231404958677679</v>
      </c>
      <c r="M34" s="8">
        <v>4.9586776859504127</v>
      </c>
      <c r="N34" s="8">
        <v>11.157024793388429</v>
      </c>
      <c r="O34" s="8">
        <v>1.2396694214876032</v>
      </c>
      <c r="P34" s="8">
        <v>0.41322314049586767</v>
      </c>
      <c r="Q34" s="8">
        <v>0.41322314049586767</v>
      </c>
      <c r="R34" s="8">
        <v>10.330578512396693</v>
      </c>
      <c r="S34" s="8">
        <v>2.0661157024793386</v>
      </c>
      <c r="T34" s="10">
        <v>0.5625</v>
      </c>
      <c r="U34" s="8">
        <v>0.49794238683127579</v>
      </c>
      <c r="V34" s="14">
        <v>0.28009259259259262</v>
      </c>
      <c r="W34" s="14">
        <v>28.009259259259263</v>
      </c>
      <c r="X34" s="8">
        <v>3.2135416666666665</v>
      </c>
      <c r="Y34" s="8">
        <v>3.3819444444444446</v>
      </c>
      <c r="Z34" s="8">
        <v>4.0892857142857144</v>
      </c>
      <c r="AA34" s="10">
        <v>3.5615906084656088</v>
      </c>
      <c r="AB34" s="10">
        <v>64.039765211640216</v>
      </c>
      <c r="AC34" s="10">
        <v>58.801945546737215</v>
      </c>
    </row>
    <row r="35" spans="1:29" x14ac:dyDescent="0.3">
      <c r="A35" s="6" t="s">
        <v>33</v>
      </c>
      <c r="B35" s="7">
        <v>7</v>
      </c>
      <c r="C35" s="7">
        <v>2.5499999999999998</v>
      </c>
      <c r="D35" s="7">
        <v>2.1888888888888891</v>
      </c>
      <c r="E35" s="7">
        <v>3.7777777777777777</v>
      </c>
      <c r="F35" s="7">
        <v>1.5222222222222221</v>
      </c>
      <c r="G35" s="7">
        <v>2.0055555555555555</v>
      </c>
      <c r="H35" s="11">
        <v>2.4088888888888889</v>
      </c>
      <c r="I35" s="10">
        <v>35.222222222222221</v>
      </c>
      <c r="J35" s="8">
        <v>8.4112149532710259</v>
      </c>
      <c r="K35" s="8">
        <v>16.822429906542052</v>
      </c>
      <c r="L35" s="8">
        <v>33.644859813084103</v>
      </c>
      <c r="M35" s="8">
        <v>5.6074766355140184</v>
      </c>
      <c r="N35" s="8">
        <v>12.14953271028037</v>
      </c>
      <c r="O35" s="8">
        <v>7.4766355140186906</v>
      </c>
      <c r="P35" s="8">
        <v>0</v>
      </c>
      <c r="Q35" s="8">
        <v>0.93457943925233633</v>
      </c>
      <c r="R35" s="8">
        <v>10.280373831775698</v>
      </c>
      <c r="S35" s="8">
        <v>4.6728971962616814</v>
      </c>
      <c r="T35" s="10">
        <v>0.28888888888888886</v>
      </c>
      <c r="U35" s="8">
        <v>0.45726495726495736</v>
      </c>
      <c r="V35" s="14">
        <v>0.13209876543209878</v>
      </c>
      <c r="W35" s="14">
        <v>13.209876543209878</v>
      </c>
      <c r="X35" s="8">
        <v>2.8944444444444444</v>
      </c>
      <c r="Y35" s="8">
        <v>2.7703703703703706</v>
      </c>
      <c r="Z35" s="8">
        <v>3.4412698412698406</v>
      </c>
      <c r="AA35" s="10">
        <v>3.0353615520282187</v>
      </c>
      <c r="AB35" s="10">
        <v>50.884038800705468</v>
      </c>
      <c r="AC35" s="10">
        <v>66.894620811287467</v>
      </c>
    </row>
    <row r="36" spans="1:29" x14ac:dyDescent="0.3">
      <c r="A36" s="6" t="s">
        <v>33</v>
      </c>
      <c r="B36" s="7">
        <v>8</v>
      </c>
      <c r="C36" s="7">
        <v>2.5862068965517242</v>
      </c>
      <c r="D36" s="7">
        <v>2.9741379310344827</v>
      </c>
      <c r="E36" s="7">
        <v>2.5862068965517242</v>
      </c>
      <c r="F36" s="7">
        <v>2.6724137931034484</v>
      </c>
      <c r="G36" s="7">
        <v>2.5775862068965516</v>
      </c>
      <c r="H36" s="11">
        <v>2.6793103448275861</v>
      </c>
      <c r="I36" s="10">
        <v>41.982758620689651</v>
      </c>
      <c r="J36" s="8">
        <v>0</v>
      </c>
      <c r="K36" s="8">
        <v>0</v>
      </c>
      <c r="L36" s="8">
        <v>37.815126050420169</v>
      </c>
      <c r="M36" s="8">
        <v>15.126050420168067</v>
      </c>
      <c r="N36" s="8">
        <v>14.285714285714285</v>
      </c>
      <c r="O36" s="8">
        <v>14.285714285714285</v>
      </c>
      <c r="P36" s="8">
        <v>0.84033613445378152</v>
      </c>
      <c r="Q36" s="8">
        <v>0.84033613445378152</v>
      </c>
      <c r="R36" s="8">
        <v>14.285714285714285</v>
      </c>
      <c r="S36" s="8">
        <v>2.5210084033613445</v>
      </c>
      <c r="T36" s="10">
        <v>0.58620689655172409</v>
      </c>
      <c r="U36" s="8">
        <v>0.38888888888888895</v>
      </c>
      <c r="V36" s="14">
        <v>0.22796934865900384</v>
      </c>
      <c r="W36" s="14">
        <v>22.796934865900383</v>
      </c>
      <c r="X36" s="8">
        <v>3.3706896551724137</v>
      </c>
      <c r="Y36" s="8">
        <v>3.3218390804597702</v>
      </c>
      <c r="Z36" s="8">
        <v>3.4236453201970436</v>
      </c>
      <c r="AA36" s="10">
        <v>3.3720580186097435</v>
      </c>
      <c r="AB36" s="10">
        <v>59.30145046524359</v>
      </c>
      <c r="AC36" s="10">
        <v>58.639618682722123</v>
      </c>
    </row>
    <row r="37" spans="1:29" x14ac:dyDescent="0.3">
      <c r="A37" s="6" t="s">
        <v>33</v>
      </c>
      <c r="B37" s="7">
        <v>9</v>
      </c>
      <c r="C37" s="7">
        <v>1.9907407407407407</v>
      </c>
      <c r="D37" s="7">
        <v>2.0416666666666665</v>
      </c>
      <c r="E37" s="7">
        <v>2.0185185185185182</v>
      </c>
      <c r="F37" s="7">
        <v>2.1018518518518516</v>
      </c>
      <c r="G37" s="7">
        <v>2.0370370370370372</v>
      </c>
      <c r="H37" s="11">
        <v>2.0379629629629621</v>
      </c>
      <c r="I37" s="10">
        <v>25.949074074074051</v>
      </c>
      <c r="J37" s="8">
        <v>2.4590163934426226</v>
      </c>
      <c r="K37" s="8">
        <v>14.754098360655735</v>
      </c>
      <c r="L37" s="8">
        <v>24.590163934426226</v>
      </c>
      <c r="M37" s="8">
        <v>19.672131147540981</v>
      </c>
      <c r="N37" s="8">
        <v>12.295081967213113</v>
      </c>
      <c r="O37" s="8">
        <v>12.295081967213113</v>
      </c>
      <c r="P37" s="8">
        <v>0.81967213114754089</v>
      </c>
      <c r="Q37" s="8">
        <v>2.4590163934426226</v>
      </c>
      <c r="R37" s="8">
        <v>10.65573770491803</v>
      </c>
      <c r="S37" s="8">
        <v>0</v>
      </c>
      <c r="T37" s="10">
        <v>0.27777777777777779</v>
      </c>
      <c r="U37" s="8">
        <v>0.45185185185185189</v>
      </c>
      <c r="V37" s="14">
        <v>0.12551440329218108</v>
      </c>
      <c r="W37" s="14">
        <v>12.551440329218108</v>
      </c>
      <c r="X37" s="8">
        <v>2.7777777777777777</v>
      </c>
      <c r="Y37" s="8">
        <v>2.7191358024691348</v>
      </c>
      <c r="Z37" s="8">
        <v>2.7989417989417995</v>
      </c>
      <c r="AA37" s="10">
        <v>2.7652851263962379</v>
      </c>
      <c r="AB37" s="10">
        <v>44.132128159905946</v>
      </c>
      <c r="AC37" s="10">
        <v>72.455785812267294</v>
      </c>
    </row>
    <row r="38" spans="1:29" x14ac:dyDescent="0.3">
      <c r="A38" s="6" t="s">
        <v>33</v>
      </c>
      <c r="B38" s="7">
        <v>10</v>
      </c>
      <c r="C38" s="7">
        <v>2.1621621621621623</v>
      </c>
      <c r="D38" s="7">
        <v>2.310810810810811</v>
      </c>
      <c r="E38" s="7">
        <v>2.2162162162162158</v>
      </c>
      <c r="F38" s="7">
        <v>2.2297297297297298</v>
      </c>
      <c r="G38" s="7">
        <v>2.1824324324324325</v>
      </c>
      <c r="H38" s="11">
        <v>2.2202702702702704</v>
      </c>
      <c r="I38" s="10">
        <v>30.506756756756758</v>
      </c>
      <c r="J38" s="8">
        <v>6.6666666666666652</v>
      </c>
      <c r="K38" s="8">
        <v>0</v>
      </c>
      <c r="L38" s="8">
        <v>39.999999999999993</v>
      </c>
      <c r="M38" s="8">
        <v>6.6666666666666652</v>
      </c>
      <c r="N38" s="8">
        <v>15.555555555555554</v>
      </c>
      <c r="O38" s="8">
        <v>15.555555555555554</v>
      </c>
      <c r="P38" s="8">
        <v>0</v>
      </c>
      <c r="Q38" s="8">
        <v>0</v>
      </c>
      <c r="R38" s="8">
        <v>15.555555555555554</v>
      </c>
      <c r="S38" s="8">
        <v>0</v>
      </c>
      <c r="T38" s="10">
        <v>0.1891891891891892</v>
      </c>
      <c r="U38" s="8">
        <v>0.35714285714285721</v>
      </c>
      <c r="V38" s="14">
        <v>6.7567567567567585E-2</v>
      </c>
      <c r="W38" s="14">
        <v>6.7567567567567588</v>
      </c>
      <c r="X38" s="8">
        <v>2.6148648648648649</v>
      </c>
      <c r="Y38" s="8">
        <v>3.0090090090090094</v>
      </c>
      <c r="Z38" s="8">
        <v>3.2779922779922783</v>
      </c>
      <c r="AA38" s="10">
        <v>2.9672887172887172</v>
      </c>
      <c r="AB38" s="10">
        <v>49.182217932217931</v>
      </c>
      <c r="AC38" s="10">
        <v>71.184756184756182</v>
      </c>
    </row>
    <row r="39" spans="1:29" x14ac:dyDescent="0.3">
      <c r="A39" s="6" t="s">
        <v>33</v>
      </c>
      <c r="B39" s="7">
        <v>11</v>
      </c>
      <c r="C39" s="7">
        <v>3.5526315789473686</v>
      </c>
      <c r="D39" s="7">
        <v>3.3486842105263159</v>
      </c>
      <c r="E39" s="7">
        <v>2.9561403508771926</v>
      </c>
      <c r="F39" s="7">
        <v>3.2697368421052633</v>
      </c>
      <c r="G39" s="7">
        <v>3.6973684210526314</v>
      </c>
      <c r="H39" s="11">
        <v>3.3649122807017537</v>
      </c>
      <c r="I39" s="10">
        <v>59.122807017543842</v>
      </c>
      <c r="J39" s="8">
        <v>17.142857142857135</v>
      </c>
      <c r="K39" s="8">
        <v>1.7142857142857133</v>
      </c>
      <c r="L39" s="8">
        <v>34.28571428571427</v>
      </c>
      <c r="M39" s="8">
        <v>10.285714285714281</v>
      </c>
      <c r="N39" s="8">
        <v>11.999999999999995</v>
      </c>
      <c r="O39" s="8">
        <v>7.9999999999999964</v>
      </c>
      <c r="P39" s="8">
        <v>0</v>
      </c>
      <c r="Q39" s="8">
        <v>1.7142857142857133</v>
      </c>
      <c r="R39" s="8">
        <v>11.999999999999995</v>
      </c>
      <c r="S39" s="8">
        <v>2.8571428571428559</v>
      </c>
      <c r="T39" s="10">
        <v>0.55263157894736847</v>
      </c>
      <c r="U39" s="8">
        <v>0.46296296296296308</v>
      </c>
      <c r="V39" s="14">
        <v>0.25584795321637438</v>
      </c>
      <c r="W39" s="14">
        <v>25.584795321637436</v>
      </c>
      <c r="X39" s="8">
        <v>4.2171052631578947</v>
      </c>
      <c r="Y39" s="8">
        <v>3.2807017543859645</v>
      </c>
      <c r="Z39" s="8">
        <v>3.981203007518797</v>
      </c>
      <c r="AA39" s="10">
        <v>3.8263366750208863</v>
      </c>
      <c r="AB39" s="10">
        <v>70.65841687552215</v>
      </c>
      <c r="AC39" s="10">
        <v>48.211326928432186</v>
      </c>
    </row>
    <row r="40" spans="1:29" x14ac:dyDescent="0.3">
      <c r="A40" s="6" t="s">
        <v>33</v>
      </c>
      <c r="B40" s="7">
        <v>12</v>
      </c>
      <c r="C40" s="7">
        <v>2.8552631578947367</v>
      </c>
      <c r="D40" s="7">
        <v>2.9144736842105261</v>
      </c>
      <c r="E40" s="7">
        <v>3.1403508771929816</v>
      </c>
      <c r="F40" s="7">
        <v>2.0657894736842106</v>
      </c>
      <c r="G40" s="7">
        <v>3.0460526315789473</v>
      </c>
      <c r="H40" s="11">
        <v>2.8043859649122811</v>
      </c>
      <c r="I40" s="10">
        <v>45.109649122807028</v>
      </c>
      <c r="J40" s="8">
        <v>26.373626373626362</v>
      </c>
      <c r="K40" s="8">
        <v>3.2967032967032952</v>
      </c>
      <c r="L40" s="8">
        <v>32.967032967032956</v>
      </c>
      <c r="M40" s="8">
        <v>0</v>
      </c>
      <c r="N40" s="8">
        <v>12.087912087912084</v>
      </c>
      <c r="O40" s="8">
        <v>7.6923076923076898</v>
      </c>
      <c r="P40" s="8">
        <v>1.0989010989010985</v>
      </c>
      <c r="Q40" s="8">
        <v>1.0989010989010985</v>
      </c>
      <c r="R40" s="8">
        <v>12.087912087912084</v>
      </c>
      <c r="S40" s="8">
        <v>3.2967032967032952</v>
      </c>
      <c r="T40" s="10">
        <v>0.28947368421052633</v>
      </c>
      <c r="U40" s="8">
        <v>0.45959595959595967</v>
      </c>
      <c r="V40" s="14">
        <v>0.13304093567251465</v>
      </c>
      <c r="W40" s="14">
        <v>13.304093567251465</v>
      </c>
      <c r="X40" s="8">
        <v>3.8947368421052633</v>
      </c>
      <c r="Y40" s="8">
        <v>3.1184210526315792</v>
      </c>
      <c r="Z40" s="8">
        <v>3.8233082706766917</v>
      </c>
      <c r="AA40" s="10">
        <v>3.6121553884711788</v>
      </c>
      <c r="AB40" s="10">
        <v>65.303884711779475</v>
      </c>
      <c r="AC40" s="10">
        <v>58.760790866054009</v>
      </c>
    </row>
    <row r="41" spans="1:29" x14ac:dyDescent="0.3">
      <c r="A41" s="6" t="s">
        <v>33</v>
      </c>
      <c r="B41" s="7">
        <v>13</v>
      </c>
      <c r="C41" s="7">
        <v>4.0250000000000004</v>
      </c>
      <c r="D41" s="7">
        <v>3.5750000000000002</v>
      </c>
      <c r="E41" s="7">
        <v>2.6333333333333333</v>
      </c>
      <c r="F41" s="7">
        <v>2.85</v>
      </c>
      <c r="G41" s="7">
        <v>4.4749999999999996</v>
      </c>
      <c r="H41" s="11">
        <v>3.5116666666666667</v>
      </c>
      <c r="I41" s="10">
        <v>62.791666666666671</v>
      </c>
      <c r="J41" s="8">
        <v>10.112359550561797</v>
      </c>
      <c r="K41" s="8">
        <v>6.7415730337078648</v>
      </c>
      <c r="L41" s="8">
        <v>30.337078651685388</v>
      </c>
      <c r="M41" s="8">
        <v>6.7415730337078648</v>
      </c>
      <c r="N41" s="8">
        <v>10.112359550561797</v>
      </c>
      <c r="O41" s="8">
        <v>10.112359550561797</v>
      </c>
      <c r="P41" s="8">
        <v>2.2471910112359552</v>
      </c>
      <c r="Q41" s="8">
        <v>10.112359550561797</v>
      </c>
      <c r="R41" s="8">
        <v>10.112359550561797</v>
      </c>
      <c r="S41" s="8">
        <v>3.3707865168539324</v>
      </c>
      <c r="T41" s="10">
        <v>0.9</v>
      </c>
      <c r="U41" s="8">
        <v>0.54938271604938271</v>
      </c>
      <c r="V41" s="14">
        <v>0.49444444444444446</v>
      </c>
      <c r="W41" s="14">
        <v>49.444444444444443</v>
      </c>
      <c r="X41" s="8">
        <v>4.9000000000000004</v>
      </c>
      <c r="Y41" s="8">
        <v>3.583333333333333</v>
      </c>
      <c r="Z41" s="8">
        <v>4.1142857142857157</v>
      </c>
      <c r="AA41" s="10">
        <v>4.1992063492063485</v>
      </c>
      <c r="AB41" s="10">
        <v>79.980158730158706</v>
      </c>
      <c r="AC41" s="10">
        <v>35.927910052910065</v>
      </c>
    </row>
    <row r="42" spans="1:29" x14ac:dyDescent="0.3">
      <c r="A42" s="6" t="s">
        <v>33</v>
      </c>
      <c r="B42" s="7">
        <v>14</v>
      </c>
      <c r="C42" s="7">
        <v>2.2441176470588236</v>
      </c>
      <c r="D42" s="7">
        <v>1.7088235294117646</v>
      </c>
      <c r="E42" s="7">
        <v>2.7843137254901955</v>
      </c>
      <c r="F42" s="7">
        <v>1.4617647058823529</v>
      </c>
      <c r="G42" s="7">
        <v>2.8823529411764706</v>
      </c>
      <c r="H42" s="11">
        <v>2.216274509803922</v>
      </c>
      <c r="I42" s="11">
        <v>30.406862745098053</v>
      </c>
      <c r="J42" s="8">
        <v>16.135458167330675</v>
      </c>
      <c r="K42" s="8">
        <v>17.33067729083665</v>
      </c>
      <c r="L42" s="8">
        <v>24.501992031872508</v>
      </c>
      <c r="M42" s="8">
        <v>13.745019920318724</v>
      </c>
      <c r="N42" s="8">
        <v>10.756972111553782</v>
      </c>
      <c r="O42" s="8">
        <v>6.9721115537848597</v>
      </c>
      <c r="P42" s="8">
        <v>0.19920318725099601</v>
      </c>
      <c r="Q42" s="8">
        <v>0.99601593625498008</v>
      </c>
      <c r="R42" s="8">
        <v>7.7689243027888431</v>
      </c>
      <c r="S42" s="8">
        <v>1.593625498007968</v>
      </c>
      <c r="T42" s="10">
        <v>0.6588235294117647</v>
      </c>
      <c r="U42" s="8">
        <v>0.49801587301587302</v>
      </c>
      <c r="V42" s="14">
        <v>0.32810457516339869</v>
      </c>
      <c r="W42" s="14">
        <v>32.810457516339866</v>
      </c>
      <c r="X42" s="8">
        <v>3.9529411764705884</v>
      </c>
      <c r="Y42" s="8">
        <v>2.7078431372549021</v>
      </c>
      <c r="Z42" s="8">
        <v>3.4621848739495804</v>
      </c>
      <c r="AA42" s="10">
        <v>3.3743230625583571</v>
      </c>
      <c r="AB42" s="10">
        <v>59.358076563958932</v>
      </c>
      <c r="AC42" s="10">
        <v>59.141534391534385</v>
      </c>
    </row>
    <row r="43" spans="1:29" x14ac:dyDescent="0.3">
      <c r="A43" s="6" t="s">
        <v>19</v>
      </c>
      <c r="B43" s="7">
        <v>1</v>
      </c>
      <c r="C43" s="8">
        <v>3.0153846153846153</v>
      </c>
      <c r="D43" s="8">
        <v>3.1423076923076922</v>
      </c>
      <c r="E43" s="8">
        <v>3.4410256410256412</v>
      </c>
      <c r="F43" s="8">
        <v>3.0615384615384613</v>
      </c>
      <c r="G43" s="8">
        <v>3.1423076923076922</v>
      </c>
      <c r="H43" s="10">
        <v>3.1605128205128197</v>
      </c>
      <c r="I43" s="10">
        <v>54.01282051282049</v>
      </c>
      <c r="J43" s="8">
        <v>0</v>
      </c>
      <c r="K43" s="8">
        <v>0</v>
      </c>
      <c r="L43" s="8">
        <v>49.180327868852444</v>
      </c>
      <c r="M43" s="8">
        <v>0</v>
      </c>
      <c r="N43" s="8">
        <v>16.393442622950815</v>
      </c>
      <c r="O43" s="8">
        <v>16.393442622950815</v>
      </c>
      <c r="P43" s="8">
        <v>1.6393442622950813</v>
      </c>
      <c r="Q43" s="8">
        <v>0</v>
      </c>
      <c r="R43" s="8">
        <v>16.393442622950815</v>
      </c>
      <c r="S43" s="8">
        <v>0</v>
      </c>
      <c r="T43" s="10">
        <v>0.15384615384615385</v>
      </c>
      <c r="U43" s="8">
        <v>0.33888888888888896</v>
      </c>
      <c r="V43" s="14">
        <v>5.2136752136752153E-2</v>
      </c>
      <c r="W43" s="14">
        <v>5.2136752136752156</v>
      </c>
      <c r="X43" s="8">
        <v>1.7307692307692308</v>
      </c>
      <c r="Y43" s="8">
        <v>3.4076923076923071</v>
      </c>
      <c r="Z43" s="8">
        <v>3.4945054945054945</v>
      </c>
      <c r="AA43" s="10">
        <v>2.8776556776556785</v>
      </c>
      <c r="AB43" s="10">
        <v>46.941391941391963</v>
      </c>
      <c r="AC43" s="10">
        <v>64.61070411070412</v>
      </c>
    </row>
    <row r="44" spans="1:29" x14ac:dyDescent="0.3">
      <c r="A44" s="6" t="s">
        <v>19</v>
      </c>
      <c r="B44" s="7">
        <v>2</v>
      </c>
      <c r="C44" s="8">
        <v>3.1224489795918369</v>
      </c>
      <c r="D44" s="8">
        <v>2.8979591836734695</v>
      </c>
      <c r="E44" s="8">
        <v>3.0884353741496611</v>
      </c>
      <c r="F44" s="8">
        <v>2.9719387755102042</v>
      </c>
      <c r="G44" s="8">
        <v>2.8954081632653059</v>
      </c>
      <c r="H44" s="10">
        <v>2.9952380952380961</v>
      </c>
      <c r="I44" s="10">
        <v>49.880952380952401</v>
      </c>
      <c r="J44" s="8">
        <v>1.0638297872340419</v>
      </c>
      <c r="K44" s="8">
        <v>1.0638297872340419</v>
      </c>
      <c r="L44" s="8">
        <v>45.744680851063805</v>
      </c>
      <c r="M44" s="8">
        <v>2.1276595744680837</v>
      </c>
      <c r="N44" s="8">
        <v>15.248226950354599</v>
      </c>
      <c r="O44" s="8">
        <v>15.248226950354599</v>
      </c>
      <c r="P44" s="8">
        <v>0</v>
      </c>
      <c r="Q44" s="8">
        <v>0.70921985815602784</v>
      </c>
      <c r="R44" s="8">
        <v>15.248226950354599</v>
      </c>
      <c r="S44" s="8">
        <v>3.5460992907801399</v>
      </c>
      <c r="T44" s="10">
        <v>0.45918367346938777</v>
      </c>
      <c r="U44" s="8">
        <v>0.34814814814814837</v>
      </c>
      <c r="V44" s="14">
        <v>0.15986394557823139</v>
      </c>
      <c r="W44" s="14">
        <v>15.986394557823139</v>
      </c>
      <c r="X44" s="8">
        <v>1.5178571428571428</v>
      </c>
      <c r="Y44" s="8">
        <v>3.4421768707483005</v>
      </c>
      <c r="Z44" s="8">
        <v>3.5510204081632657</v>
      </c>
      <c r="AA44" s="10">
        <v>2.8370181405895689</v>
      </c>
      <c r="AB44" s="10">
        <v>45.925453514739225</v>
      </c>
      <c r="AC44" s="10">
        <v>62.735733182161745</v>
      </c>
    </row>
    <row r="45" spans="1:29" x14ac:dyDescent="0.3">
      <c r="A45" s="6" t="s">
        <v>19</v>
      </c>
      <c r="B45" s="7">
        <v>3</v>
      </c>
      <c r="C45" s="8">
        <v>2.8425925925925926</v>
      </c>
      <c r="D45" s="8">
        <v>2.8703703703703702</v>
      </c>
      <c r="E45" s="8">
        <v>4.0370370370370363</v>
      </c>
      <c r="F45" s="8">
        <v>3.0092592592592591</v>
      </c>
      <c r="G45" s="8">
        <v>2.0833333333333335</v>
      </c>
      <c r="H45" s="10">
        <v>2.9685185185185188</v>
      </c>
      <c r="I45" s="10">
        <v>49.212962962962969</v>
      </c>
      <c r="J45" s="8">
        <v>15.789473684210526</v>
      </c>
      <c r="K45" s="8">
        <v>5.2631578947368416</v>
      </c>
      <c r="L45" s="8">
        <v>36.84210526315789</v>
      </c>
      <c r="M45" s="8">
        <v>5.2631578947368416</v>
      </c>
      <c r="N45" s="8">
        <v>12.280701754385962</v>
      </c>
      <c r="O45" s="8">
        <v>7.0175438596491206</v>
      </c>
      <c r="P45" s="8">
        <v>0</v>
      </c>
      <c r="Q45" s="8">
        <v>1.7543859649122802</v>
      </c>
      <c r="R45" s="8">
        <v>12.280701754385962</v>
      </c>
      <c r="S45" s="8">
        <v>3.5087719298245603</v>
      </c>
      <c r="T45" s="10">
        <v>0.25925925925925924</v>
      </c>
      <c r="U45" s="8">
        <v>0.45238095238095244</v>
      </c>
      <c r="V45" s="14">
        <v>0.11728395061728396</v>
      </c>
      <c r="W45" s="14">
        <v>11.728395061728396</v>
      </c>
      <c r="X45" s="8">
        <v>2.1944444444444446</v>
      </c>
      <c r="Y45" s="8">
        <v>3.0802469135802473</v>
      </c>
      <c r="Z45" s="8">
        <v>3.1957671957671954</v>
      </c>
      <c r="AA45" s="10">
        <v>2.8234861845972965</v>
      </c>
      <c r="AB45" s="10">
        <v>45.587154614932416</v>
      </c>
      <c r="AC45" s="10">
        <v>64.490495786792081</v>
      </c>
    </row>
    <row r="46" spans="1:29" x14ac:dyDescent="0.3">
      <c r="A46" s="6" t="s">
        <v>19</v>
      </c>
      <c r="B46" s="7">
        <v>4</v>
      </c>
      <c r="C46" s="8">
        <v>3.8563829787234041</v>
      </c>
      <c r="D46" s="8">
        <v>3.1276595744680851</v>
      </c>
      <c r="E46" s="8">
        <v>4.042553191489362</v>
      </c>
      <c r="F46" s="8">
        <v>2.6595744680851063</v>
      </c>
      <c r="G46" s="8">
        <v>2.1702127659574466</v>
      </c>
      <c r="H46" s="10">
        <v>3.1712765957446805</v>
      </c>
      <c r="I46" s="10">
        <v>54.281914893617014</v>
      </c>
      <c r="J46" s="8">
        <v>10.434782608695651</v>
      </c>
      <c r="K46" s="8">
        <v>3.9130434782608678</v>
      </c>
      <c r="L46" s="8">
        <v>36.521739130434774</v>
      </c>
      <c r="M46" s="8">
        <v>10.434782608695651</v>
      </c>
      <c r="N46" s="8">
        <v>11.739130434782608</v>
      </c>
      <c r="O46" s="8">
        <v>7.391304347826086</v>
      </c>
      <c r="P46" s="8">
        <v>0.43478260869565211</v>
      </c>
      <c r="Q46" s="8">
        <v>2.6086956521739122</v>
      </c>
      <c r="R46" s="8">
        <v>11.739130434782608</v>
      </c>
      <c r="S46" s="8">
        <v>4.7826086956521729</v>
      </c>
      <c r="T46" s="10">
        <v>0.5957446808510638</v>
      </c>
      <c r="U46" s="8">
        <v>0.4563492063492065</v>
      </c>
      <c r="V46" s="14">
        <v>0.27186761229314427</v>
      </c>
      <c r="W46" s="14">
        <v>27.186761229314428</v>
      </c>
      <c r="X46" s="8">
        <v>2.0106382978723403</v>
      </c>
      <c r="Y46" s="8">
        <v>3.3014184397163127</v>
      </c>
      <c r="Z46" s="8">
        <v>3.4103343465045586</v>
      </c>
      <c r="AA46" s="10">
        <v>2.9074636946977379</v>
      </c>
      <c r="AB46" s="10">
        <v>47.686592367443446</v>
      </c>
      <c r="AC46" s="10">
        <v>56.948243836541707</v>
      </c>
    </row>
    <row r="47" spans="1:29" x14ac:dyDescent="0.3">
      <c r="A47" s="6" t="s">
        <v>19</v>
      </c>
      <c r="B47" s="7">
        <v>5</v>
      </c>
      <c r="C47" s="8">
        <v>3.486842105263158</v>
      </c>
      <c r="D47" s="8">
        <v>3.5350877192982457</v>
      </c>
      <c r="E47" s="8">
        <v>3.4619883040935684</v>
      </c>
      <c r="F47" s="8">
        <v>2.9561403508771931</v>
      </c>
      <c r="G47" s="8">
        <v>3.3596491228070176</v>
      </c>
      <c r="H47" s="10">
        <v>3.359941520467836</v>
      </c>
      <c r="I47" s="10">
        <v>58.998538011695899</v>
      </c>
      <c r="J47" s="8">
        <v>2.9702970297029689</v>
      </c>
      <c r="K47" s="8">
        <v>4.4554455445544541</v>
      </c>
      <c r="L47" s="8">
        <v>37.128712871287114</v>
      </c>
      <c r="M47" s="8">
        <v>32.673267326732656</v>
      </c>
      <c r="N47" s="8">
        <v>6.4356435643564334</v>
      </c>
      <c r="O47" s="8">
        <v>4.4554455445544541</v>
      </c>
      <c r="P47" s="8">
        <v>0</v>
      </c>
      <c r="Q47" s="8">
        <v>0.99009900990098976</v>
      </c>
      <c r="R47" s="8">
        <v>10.891089108910887</v>
      </c>
      <c r="S47" s="8">
        <v>0</v>
      </c>
      <c r="T47" s="10">
        <v>0.45614035087719296</v>
      </c>
      <c r="U47" s="8">
        <v>0.43162393162393181</v>
      </c>
      <c r="V47" s="14">
        <v>0.1968810916179338</v>
      </c>
      <c r="W47" s="14">
        <v>19.688109161793381</v>
      </c>
      <c r="X47" s="8">
        <v>2.9473684210526314</v>
      </c>
      <c r="Y47" s="8">
        <v>2.6666666666666665</v>
      </c>
      <c r="Z47" s="8">
        <v>2.8245614035087718</v>
      </c>
      <c r="AA47" s="10">
        <v>2.812865497076023</v>
      </c>
      <c r="AB47" s="10">
        <v>45.321637426900573</v>
      </c>
      <c r="AC47" s="10">
        <v>58.663905133203379</v>
      </c>
    </row>
    <row r="48" spans="1:29" x14ac:dyDescent="0.3">
      <c r="A48" s="6" t="s">
        <v>19</v>
      </c>
      <c r="B48" s="7">
        <v>6</v>
      </c>
      <c r="C48" s="8">
        <v>3.407258064516129</v>
      </c>
      <c r="D48" s="8">
        <v>3.7983870967741935</v>
      </c>
      <c r="E48" s="8">
        <v>3.161290322580645</v>
      </c>
      <c r="F48" s="8">
        <v>2.4798387096774195</v>
      </c>
      <c r="G48" s="8">
        <v>3.411290322580645</v>
      </c>
      <c r="H48" s="10">
        <v>3.2516129032258054</v>
      </c>
      <c r="I48" s="10">
        <v>56.290322580645139</v>
      </c>
      <c r="J48" s="8">
        <v>0</v>
      </c>
      <c r="K48" s="8">
        <v>2.399999999999999</v>
      </c>
      <c r="L48" s="8">
        <v>38.399999999999984</v>
      </c>
      <c r="M48" s="8">
        <v>34.799999999999983</v>
      </c>
      <c r="N48" s="8">
        <v>7.9999999999999973</v>
      </c>
      <c r="O48" s="8">
        <v>4.799999999999998</v>
      </c>
      <c r="P48" s="8">
        <v>0</v>
      </c>
      <c r="Q48" s="8">
        <v>0</v>
      </c>
      <c r="R48" s="8">
        <v>11.599999999999994</v>
      </c>
      <c r="S48" s="8">
        <v>0</v>
      </c>
      <c r="T48" s="10">
        <v>0.5161290322580645</v>
      </c>
      <c r="U48" s="8">
        <v>0.4340277777777779</v>
      </c>
      <c r="V48" s="14">
        <v>0.22401433691756278</v>
      </c>
      <c r="W48" s="14">
        <v>22.401433691756278</v>
      </c>
      <c r="X48" s="8">
        <v>3.024193548387097</v>
      </c>
      <c r="Y48" s="8">
        <v>2.596774193548387</v>
      </c>
      <c r="Z48" s="8">
        <v>2.7235023041474657</v>
      </c>
      <c r="AA48" s="10">
        <v>2.7814900153609843</v>
      </c>
      <c r="AB48" s="10">
        <v>44.53725038402461</v>
      </c>
      <c r="AC48" s="10">
        <v>58.923664447857988</v>
      </c>
    </row>
    <row r="49" spans="1:29" x14ac:dyDescent="0.3">
      <c r="A49" s="6" t="s">
        <v>21</v>
      </c>
      <c r="B49" s="7">
        <v>1</v>
      </c>
      <c r="C49" s="8">
        <v>2.7067307692307692</v>
      </c>
      <c r="D49" s="8">
        <v>1.9471153846153846</v>
      </c>
      <c r="E49" s="8">
        <v>3.3653846153846154</v>
      </c>
      <c r="F49" s="8">
        <v>1.2788461538461537</v>
      </c>
      <c r="G49" s="8">
        <v>2.6346153846153846</v>
      </c>
      <c r="H49" s="10">
        <v>2.3865384615384615</v>
      </c>
      <c r="I49" s="10">
        <v>34.66346153846154</v>
      </c>
      <c r="J49" s="8">
        <v>6.521739130434784</v>
      </c>
      <c r="K49" s="8">
        <v>6.521739130434784</v>
      </c>
      <c r="L49" s="8">
        <v>45.652173913043484</v>
      </c>
      <c r="M49" s="8">
        <v>13.043478260869568</v>
      </c>
      <c r="N49" s="8">
        <v>6.521739130434784</v>
      </c>
      <c r="O49" s="8">
        <v>0</v>
      </c>
      <c r="P49" s="8">
        <v>4.3478260869565233</v>
      </c>
      <c r="Q49" s="8">
        <v>2.1739130434782616</v>
      </c>
      <c r="R49" s="8">
        <v>10.869565217391306</v>
      </c>
      <c r="S49" s="8">
        <v>4.3478260869565233</v>
      </c>
      <c r="T49" s="10">
        <v>0.13461538461538461</v>
      </c>
      <c r="U49" s="8">
        <v>0.36507936507936506</v>
      </c>
      <c r="V49" s="14">
        <v>4.9145299145299137E-2</v>
      </c>
      <c r="W49" s="14">
        <f t="shared" si="0"/>
        <v>4.9145299145299139</v>
      </c>
      <c r="X49" s="14">
        <v>2.3221153846153846</v>
      </c>
      <c r="Y49" s="8">
        <v>2.1891025641025639</v>
      </c>
      <c r="Z49" s="8">
        <v>2.8626373626373609</v>
      </c>
      <c r="AA49" s="8">
        <v>2.4579517704517708</v>
      </c>
      <c r="AB49" s="10">
        <v>36.448794261294267</v>
      </c>
      <c r="AC49" s="10">
        <f t="shared" si="1"/>
        <v>74.657738095238088</v>
      </c>
    </row>
    <row r="50" spans="1:29" x14ac:dyDescent="0.3">
      <c r="A50" s="6" t="s">
        <v>21</v>
      </c>
      <c r="B50" s="7">
        <v>2</v>
      </c>
      <c r="C50" s="8">
        <v>3.1</v>
      </c>
      <c r="D50" s="8">
        <v>2.2166666666666668</v>
      </c>
      <c r="E50" s="8">
        <v>3.4222222222222229</v>
      </c>
      <c r="F50" s="8">
        <v>1.1499999999999999</v>
      </c>
      <c r="G50" s="8">
        <v>2.9750000000000001</v>
      </c>
      <c r="H50" s="10">
        <v>2.5727777777777794</v>
      </c>
      <c r="I50" s="10">
        <v>39.319444444444485</v>
      </c>
      <c r="J50" s="8">
        <v>0</v>
      </c>
      <c r="K50" s="8">
        <v>0</v>
      </c>
      <c r="L50" s="8">
        <v>45.454545454545446</v>
      </c>
      <c r="M50" s="8">
        <v>18.18181818181818</v>
      </c>
      <c r="N50" s="8">
        <v>12.121212121212119</v>
      </c>
      <c r="O50" s="8">
        <v>3.0303030303030298</v>
      </c>
      <c r="P50" s="8">
        <v>0</v>
      </c>
      <c r="Q50" s="8">
        <v>0</v>
      </c>
      <c r="R50" s="8">
        <v>15.151515151515149</v>
      </c>
      <c r="S50" s="8">
        <v>6.0606060606060597</v>
      </c>
      <c r="T50" s="10">
        <v>0.16666666666666666</v>
      </c>
      <c r="U50" s="8">
        <v>0.3666666666666667</v>
      </c>
      <c r="V50" s="14">
        <v>6.1111111111111116E-2</v>
      </c>
      <c r="W50" s="14">
        <f t="shared" si="0"/>
        <v>6.1111111111111116</v>
      </c>
      <c r="X50" s="14">
        <v>2.1666666666666665</v>
      </c>
      <c r="Y50" s="8">
        <v>2.3500000000000005</v>
      </c>
      <c r="Z50" s="8">
        <v>3.2333333333333334</v>
      </c>
      <c r="AA50" s="8">
        <v>2.5833333333333339</v>
      </c>
      <c r="AB50" s="10">
        <v>39.58333333333335</v>
      </c>
      <c r="AC50" s="10">
        <f t="shared" si="1"/>
        <v>71.662037037037024</v>
      </c>
    </row>
    <row r="51" spans="1:29" x14ac:dyDescent="0.3">
      <c r="A51" s="6" t="s">
        <v>21</v>
      </c>
      <c r="B51" s="7">
        <v>3</v>
      </c>
      <c r="C51" s="8">
        <v>1.9787234042553192</v>
      </c>
      <c r="D51" s="8">
        <v>1.2606382978723405</v>
      </c>
      <c r="E51" s="8">
        <v>2.3262411347517729</v>
      </c>
      <c r="F51" s="8">
        <v>1.4627659574468086</v>
      </c>
      <c r="G51" s="8">
        <v>1.4787234042553192</v>
      </c>
      <c r="H51" s="10">
        <v>1.7014184397163121</v>
      </c>
      <c r="I51" s="10">
        <v>17.535460992907804</v>
      </c>
      <c r="J51" s="8">
        <v>0</v>
      </c>
      <c r="K51" s="8">
        <v>0</v>
      </c>
      <c r="L51" s="8">
        <v>43.999999999999986</v>
      </c>
      <c r="M51" s="8">
        <v>0</v>
      </c>
      <c r="N51" s="8">
        <v>14.666666666666661</v>
      </c>
      <c r="O51" s="8">
        <v>5.3333333333333313</v>
      </c>
      <c r="P51" s="8">
        <v>14.666666666666661</v>
      </c>
      <c r="Q51" s="8">
        <v>1.3333333333333328</v>
      </c>
      <c r="R51" s="8">
        <v>14.666666666666661</v>
      </c>
      <c r="S51" s="8">
        <v>5.3333333333333313</v>
      </c>
      <c r="T51" s="10">
        <v>0.23404255319148937</v>
      </c>
      <c r="U51" s="8">
        <v>0.3787878787878789</v>
      </c>
      <c r="V51" s="14">
        <v>8.8652482269503577E-2</v>
      </c>
      <c r="W51" s="14">
        <f t="shared" si="0"/>
        <v>8.8652482269503583</v>
      </c>
      <c r="X51" s="14">
        <v>2.5053191489361701</v>
      </c>
      <c r="Y51" s="8">
        <v>3.0602836879432624</v>
      </c>
      <c r="Z51" s="8">
        <v>3.282674772036474</v>
      </c>
      <c r="AA51" s="8">
        <v>2.9494258696386342</v>
      </c>
      <c r="AB51" s="10">
        <v>48.735646740965855</v>
      </c>
      <c r="AC51" s="10">
        <f t="shared" si="1"/>
        <v>74.954548013058655</v>
      </c>
    </row>
    <row r="52" spans="1:29" x14ac:dyDescent="0.3">
      <c r="A52" s="6" t="s">
        <v>21</v>
      </c>
      <c r="B52" s="7">
        <v>4</v>
      </c>
      <c r="C52" s="8">
        <v>2.5681818181818183</v>
      </c>
      <c r="D52" s="8">
        <v>1.4772727272727273</v>
      </c>
      <c r="E52" s="8">
        <v>2.6161616161616164</v>
      </c>
      <c r="F52" s="8">
        <v>1.606060606060606</v>
      </c>
      <c r="G52" s="8">
        <v>2.0227272727272729</v>
      </c>
      <c r="H52" s="10">
        <v>2.0580808080808084</v>
      </c>
      <c r="I52" s="10">
        <v>26.452020202020211</v>
      </c>
      <c r="J52" s="8">
        <v>0</v>
      </c>
      <c r="K52" s="8">
        <v>0</v>
      </c>
      <c r="L52" s="8">
        <v>38.709677419354819</v>
      </c>
      <c r="M52" s="8">
        <v>0</v>
      </c>
      <c r="N52" s="8">
        <v>12.903225806451607</v>
      </c>
      <c r="O52" s="8">
        <v>12.903225806451607</v>
      </c>
      <c r="P52" s="8">
        <v>12.903225806451607</v>
      </c>
      <c r="Q52" s="8">
        <v>0</v>
      </c>
      <c r="R52" s="8">
        <v>12.903225806451607</v>
      </c>
      <c r="S52" s="8">
        <v>9.6774193548387046</v>
      </c>
      <c r="T52" s="10">
        <v>0.12121212121212122</v>
      </c>
      <c r="U52" s="8">
        <v>0.43055555555555569</v>
      </c>
      <c r="V52" s="14">
        <v>5.2188552188552208E-2</v>
      </c>
      <c r="W52" s="14">
        <f t="shared" si="0"/>
        <v>5.2188552188552206</v>
      </c>
      <c r="X52" s="14">
        <v>2.8333333333333335</v>
      </c>
      <c r="Y52" s="8">
        <v>3.4141414141414148</v>
      </c>
      <c r="Z52" s="8">
        <v>3.5844155844155847</v>
      </c>
      <c r="AA52" s="8">
        <v>3.2772967772967765</v>
      </c>
      <c r="AB52" s="10">
        <v>56.932419432419415</v>
      </c>
      <c r="AC52" s="10">
        <f t="shared" si="1"/>
        <v>70.465568382235048</v>
      </c>
    </row>
    <row r="53" spans="1:29" x14ac:dyDescent="0.3">
      <c r="A53" s="6" t="s">
        <v>21</v>
      </c>
      <c r="B53" s="7">
        <v>5</v>
      </c>
      <c r="C53" s="8">
        <v>2.2166666666666668</v>
      </c>
      <c r="D53" s="8">
        <v>1.3733333333333333</v>
      </c>
      <c r="E53" s="8">
        <v>2.2799999999999998</v>
      </c>
      <c r="F53" s="8">
        <v>1.3366666666666667</v>
      </c>
      <c r="G53" s="8">
        <v>1.83</v>
      </c>
      <c r="H53" s="10">
        <v>1.8073333333333339</v>
      </c>
      <c r="I53" s="10">
        <v>20.183333333333348</v>
      </c>
      <c r="J53" s="8">
        <v>0</v>
      </c>
      <c r="K53" s="8">
        <v>3.3333333333333335</v>
      </c>
      <c r="L53" s="8">
        <v>46.666666666666664</v>
      </c>
      <c r="M53" s="8">
        <v>3.3333333333333335</v>
      </c>
      <c r="N53" s="8">
        <v>13.333333333333334</v>
      </c>
      <c r="O53" s="8">
        <v>2.2222222222222223</v>
      </c>
      <c r="P53" s="8">
        <v>8.8888888888888893</v>
      </c>
      <c r="Q53" s="8">
        <v>0</v>
      </c>
      <c r="R53" s="8">
        <v>15.555555555555555</v>
      </c>
      <c r="S53" s="8">
        <v>6.666666666666667</v>
      </c>
      <c r="T53" s="10">
        <v>0.18666666666666668</v>
      </c>
      <c r="U53" s="8">
        <v>0.35714285714285715</v>
      </c>
      <c r="V53" s="14">
        <v>6.6666666666666666E-2</v>
      </c>
      <c r="W53" s="14">
        <f t="shared" si="0"/>
        <v>6.666666666666667</v>
      </c>
      <c r="X53" s="14">
        <v>2.8833333333333333</v>
      </c>
      <c r="Y53" s="8">
        <v>3.1466666666666652</v>
      </c>
      <c r="Z53" s="8">
        <v>3.2761904761904774</v>
      </c>
      <c r="AA53" s="8">
        <v>3.1020634920634915</v>
      </c>
      <c r="AB53" s="10">
        <v>52.55158730158729</v>
      </c>
      <c r="AC53" s="10">
        <f t="shared" si="1"/>
        <v>73.532804232804224</v>
      </c>
    </row>
    <row r="54" spans="1:29" x14ac:dyDescent="0.3">
      <c r="A54" s="6" t="s">
        <v>21</v>
      </c>
      <c r="B54" s="7">
        <v>6</v>
      </c>
      <c r="C54" s="8">
        <v>2.6641791044776117</v>
      </c>
      <c r="D54" s="8">
        <v>1.6940298507462686</v>
      </c>
      <c r="E54" s="8">
        <v>3.0149253731343273</v>
      </c>
      <c r="F54" s="8">
        <v>1.2985074626865671</v>
      </c>
      <c r="G54" s="8">
        <v>2.2126865671641789</v>
      </c>
      <c r="H54" s="10">
        <v>2.17686567164179</v>
      </c>
      <c r="I54" s="10">
        <v>29.421641791044749</v>
      </c>
      <c r="J54" s="8">
        <v>3.6144578313253009</v>
      </c>
      <c r="K54" s="8">
        <v>7.2289156626506017</v>
      </c>
      <c r="L54" s="8">
        <v>43.373493975903607</v>
      </c>
      <c r="M54" s="8">
        <v>7.2289156626506017</v>
      </c>
      <c r="N54" s="8">
        <v>9.6385542168674672</v>
      </c>
      <c r="O54" s="8">
        <v>2.4096385542168668</v>
      </c>
      <c r="P54" s="8">
        <v>7.2289156626506008</v>
      </c>
      <c r="Q54" s="8">
        <v>0</v>
      </c>
      <c r="R54" s="8">
        <v>14.457831325301202</v>
      </c>
      <c r="S54" s="8">
        <v>4.8192771084337336</v>
      </c>
      <c r="T54" s="10">
        <v>0.17910447761194029</v>
      </c>
      <c r="U54" s="8">
        <v>0.3842592592592593</v>
      </c>
      <c r="V54" s="14">
        <v>6.8822553897180769E-2</v>
      </c>
      <c r="W54" s="14">
        <f t="shared" si="0"/>
        <v>6.8822553897180772</v>
      </c>
      <c r="X54" s="14">
        <v>2.5</v>
      </c>
      <c r="Y54" s="8">
        <v>2.5796019900497513</v>
      </c>
      <c r="Z54" s="8">
        <v>2.8443496801705757</v>
      </c>
      <c r="AA54" s="8">
        <v>2.6413172234067748</v>
      </c>
      <c r="AB54" s="10">
        <v>41.032930585169368</v>
      </c>
      <c r="AC54" s="10">
        <f t="shared" si="1"/>
        <v>74.221057411355943</v>
      </c>
    </row>
    <row r="55" spans="1:29" x14ac:dyDescent="0.3">
      <c r="A55" s="6" t="s">
        <v>21</v>
      </c>
      <c r="B55" s="7">
        <v>7</v>
      </c>
      <c r="C55" s="8">
        <v>3.1590909090909092</v>
      </c>
      <c r="D55" s="8">
        <v>1.9375</v>
      </c>
      <c r="E55" s="8">
        <v>3.3181818181818183</v>
      </c>
      <c r="F55" s="8">
        <v>1.1875</v>
      </c>
      <c r="G55" s="8">
        <v>2.7272727272727271</v>
      </c>
      <c r="H55" s="10">
        <v>2.4659090909090904</v>
      </c>
      <c r="I55" s="10">
        <v>36.647727272727259</v>
      </c>
      <c r="J55" s="8">
        <v>0</v>
      </c>
      <c r="K55" s="8">
        <v>0</v>
      </c>
      <c r="L55" s="8">
        <v>40</v>
      </c>
      <c r="M55" s="8">
        <v>29.999999999999993</v>
      </c>
      <c r="N55" s="8">
        <v>11.666666666666666</v>
      </c>
      <c r="O55" s="8">
        <v>0</v>
      </c>
      <c r="P55" s="8">
        <v>3.3333333333333335</v>
      </c>
      <c r="Q55" s="8">
        <v>0</v>
      </c>
      <c r="R55" s="8">
        <v>13.333333333333334</v>
      </c>
      <c r="S55" s="8">
        <v>1.6666666666666667</v>
      </c>
      <c r="T55" s="10">
        <v>0.18181818181818182</v>
      </c>
      <c r="U55" s="8">
        <v>0.41666666666666663</v>
      </c>
      <c r="V55" s="14">
        <v>7.575757575757576E-2</v>
      </c>
      <c r="W55" s="14">
        <f t="shared" si="0"/>
        <v>7.5757575757575761</v>
      </c>
      <c r="X55" s="14">
        <v>2.4034090909090908</v>
      </c>
      <c r="Y55" s="8">
        <v>2.1515151515151518</v>
      </c>
      <c r="Z55" s="8">
        <v>2.8733766233766231</v>
      </c>
      <c r="AA55" s="8">
        <v>2.4761002886002883</v>
      </c>
      <c r="AB55" s="10">
        <v>36.902507215007205</v>
      </c>
      <c r="AC55" s="10">
        <f t="shared" si="1"/>
        <v>72.958002645502646</v>
      </c>
    </row>
  </sheetData>
  <autoFilter ref="A1:A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B48-E79D-4284-BC8F-AEE1EC92B4B1}">
  <dimension ref="A1:AC8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v>48.177860696517413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63.343796888572996</v>
      </c>
    </row>
    <row r="3" spans="1:29" s="3" customFormat="1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8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s="3" customFormat="1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8" si="1">100-AVERAGE(I4,W4,AB4)</f>
        <v>58.411085301329202</v>
      </c>
    </row>
    <row r="5" spans="1:29" s="3" customFormat="1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s="3" customFormat="1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s="3" customFormat="1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s="3" customFormat="1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191D-3EE5-4084-B376-132AD3E1C950}">
  <dimension ref="A1:AC12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32</v>
      </c>
      <c r="B2" s="7">
        <v>1</v>
      </c>
      <c r="C2" s="7">
        <v>1.7783018867924529</v>
      </c>
      <c r="D2" s="7">
        <v>1.2971698113207548</v>
      </c>
      <c r="E2" s="7">
        <v>1.7232704402515726</v>
      </c>
      <c r="F2" s="7">
        <v>1.1556603773584906</v>
      </c>
      <c r="G2" s="7">
        <v>2.3679245283018866</v>
      </c>
      <c r="H2" s="11">
        <v>1.664465408805031</v>
      </c>
      <c r="I2" s="11">
        <v>16.611635220125777</v>
      </c>
      <c r="J2" s="8">
        <v>0</v>
      </c>
      <c r="K2" s="8">
        <v>0</v>
      </c>
      <c r="L2" s="8">
        <v>44.910179640718553</v>
      </c>
      <c r="M2" s="8">
        <v>1.796407185628742</v>
      </c>
      <c r="N2" s="8">
        <v>14.970059880239518</v>
      </c>
      <c r="O2" s="8">
        <v>13.173652694610777</v>
      </c>
      <c r="P2" s="8">
        <v>4.1916167664670647</v>
      </c>
      <c r="Q2" s="8">
        <v>1.1976047904191613</v>
      </c>
      <c r="R2" s="8">
        <v>14.371257485029936</v>
      </c>
      <c r="S2" s="8">
        <v>5.3892215568862261</v>
      </c>
      <c r="T2" s="10">
        <v>0.47169811320754718</v>
      </c>
      <c r="U2" s="8">
        <v>0.37111111111111117</v>
      </c>
      <c r="V2" s="14">
        <v>0.17505241090146753</v>
      </c>
      <c r="W2" s="14">
        <f t="shared" ref="W2:W12" si="0">V2*100</f>
        <v>17.505241090146754</v>
      </c>
      <c r="X2" s="8">
        <v>2.4528301886792452</v>
      </c>
      <c r="Y2" s="8">
        <v>2.7295597484276737</v>
      </c>
      <c r="Z2" s="8">
        <v>3.2398921832884091</v>
      </c>
      <c r="AA2" s="10">
        <v>2.8074273734651096</v>
      </c>
      <c r="AB2" s="10">
        <v>45.185684336627737</v>
      </c>
      <c r="AC2" s="10">
        <f t="shared" ref="AC2:AC12" si="1">100-AVERAGE(I2,W2,AB2)</f>
        <v>73.565813117699904</v>
      </c>
    </row>
    <row r="3" spans="1:29" s="3" customFormat="1" x14ac:dyDescent="0.3">
      <c r="A3" s="6" t="s">
        <v>32</v>
      </c>
      <c r="B3" s="7">
        <v>2</v>
      </c>
      <c r="C3" s="7">
        <v>2.8103448275862069</v>
      </c>
      <c r="D3" s="7">
        <v>1.1551724137931034</v>
      </c>
      <c r="E3" s="7">
        <v>1.4137931034482758</v>
      </c>
      <c r="F3" s="7">
        <v>1.021551724137931</v>
      </c>
      <c r="G3" s="7">
        <v>2.9396551724137931</v>
      </c>
      <c r="H3" s="11">
        <v>1.8681034482758621</v>
      </c>
      <c r="I3" s="11">
        <v>21.702586206896552</v>
      </c>
      <c r="J3" s="8">
        <v>0</v>
      </c>
      <c r="K3" s="8">
        <v>2.9702970297029698</v>
      </c>
      <c r="L3" s="8">
        <v>47.524752475247517</v>
      </c>
      <c r="M3" s="8">
        <v>0</v>
      </c>
      <c r="N3" s="8">
        <v>15.84158415841584</v>
      </c>
      <c r="O3" s="8">
        <v>5.9405940594059397</v>
      </c>
      <c r="P3" s="8">
        <v>10.891089108910888</v>
      </c>
      <c r="Q3" s="8">
        <v>0</v>
      </c>
      <c r="R3" s="8">
        <v>15.84158415841584</v>
      </c>
      <c r="S3" s="8">
        <v>0.99009900990098998</v>
      </c>
      <c r="T3" s="10">
        <v>0.27586206896551724</v>
      </c>
      <c r="U3" s="8">
        <v>0.35069444444444448</v>
      </c>
      <c r="V3" s="14">
        <v>9.67432950191571E-2</v>
      </c>
      <c r="W3" s="14">
        <f t="shared" si="0"/>
        <v>9.6743295019157092</v>
      </c>
      <c r="X3" s="8">
        <v>2.9396551724137931</v>
      </c>
      <c r="Y3" s="8">
        <v>2.7413793103448265</v>
      </c>
      <c r="Z3" s="8">
        <v>3.339901477832512</v>
      </c>
      <c r="AA3" s="10">
        <v>3.0069786535303771</v>
      </c>
      <c r="AB3" s="10">
        <v>50.174466338259428</v>
      </c>
      <c r="AC3" s="10">
        <f t="shared" si="1"/>
        <v>72.816205984309434</v>
      </c>
    </row>
    <row r="4" spans="1:29" s="3" customFormat="1" x14ac:dyDescent="0.3">
      <c r="A4" s="6" t="s">
        <v>32</v>
      </c>
      <c r="B4" s="7">
        <v>3</v>
      </c>
      <c r="C4" s="7">
        <v>1.8663793103448276</v>
      </c>
      <c r="D4" s="7">
        <v>1.1982758620689655</v>
      </c>
      <c r="E4" s="7">
        <v>1.264367816091954</v>
      </c>
      <c r="F4" s="7">
        <v>1.1508620689655173</v>
      </c>
      <c r="G4" s="7">
        <v>1.9956896551724137</v>
      </c>
      <c r="H4" s="11">
        <v>1.495114942528736</v>
      </c>
      <c r="I4" s="11">
        <v>12.377873563218401</v>
      </c>
      <c r="J4" s="8">
        <v>0</v>
      </c>
      <c r="K4" s="8">
        <v>1.1718749999999993</v>
      </c>
      <c r="L4" s="8">
        <v>42.187499999999979</v>
      </c>
      <c r="M4" s="8">
        <v>2.3437499999999987</v>
      </c>
      <c r="N4" s="8">
        <v>14.062499999999991</v>
      </c>
      <c r="O4" s="8">
        <v>10.156249999999995</v>
      </c>
      <c r="P4" s="8">
        <v>8.5937499999999947</v>
      </c>
      <c r="Q4" s="8">
        <v>1.5624999999999991</v>
      </c>
      <c r="R4" s="8">
        <v>13.671874999999991</v>
      </c>
      <c r="S4" s="8">
        <v>6.2499999999999964</v>
      </c>
      <c r="T4" s="10">
        <v>0.62068965517241381</v>
      </c>
      <c r="U4" s="8">
        <v>0.39506172839506193</v>
      </c>
      <c r="V4" s="14">
        <v>0.24521072796934879</v>
      </c>
      <c r="W4" s="14">
        <f t="shared" si="0"/>
        <v>24.521072796934877</v>
      </c>
      <c r="X4" s="8">
        <v>2.1681034482758621</v>
      </c>
      <c r="Y4" s="8">
        <v>3.1206896551724133</v>
      </c>
      <c r="Z4" s="8">
        <v>3.214285714285714</v>
      </c>
      <c r="AA4" s="10">
        <v>2.8343596059113305</v>
      </c>
      <c r="AB4" s="10">
        <v>45.85899014778326</v>
      </c>
      <c r="AC4" s="10">
        <f t="shared" si="1"/>
        <v>72.41402116402115</v>
      </c>
    </row>
    <row r="5" spans="1:29" s="3" customFormat="1" x14ac:dyDescent="0.3">
      <c r="A5" s="6" t="s">
        <v>32</v>
      </c>
      <c r="B5" s="7">
        <v>4</v>
      </c>
      <c r="C5" s="7">
        <v>2.6057692307692308</v>
      </c>
      <c r="D5" s="7">
        <v>1.0673076923076923</v>
      </c>
      <c r="E5" s="7">
        <v>1.3076923076923077</v>
      </c>
      <c r="F5" s="7">
        <v>1.0769230769230769</v>
      </c>
      <c r="G5" s="7">
        <v>2.5865384615384617</v>
      </c>
      <c r="H5" s="11">
        <v>1.7288461538461537</v>
      </c>
      <c r="I5" s="11">
        <v>18.221153846153843</v>
      </c>
      <c r="J5" s="8">
        <v>0</v>
      </c>
      <c r="K5" s="8">
        <v>0</v>
      </c>
      <c r="L5" s="8">
        <v>47.999999999999979</v>
      </c>
      <c r="M5" s="8">
        <v>0</v>
      </c>
      <c r="N5" s="8">
        <v>15.999999999999995</v>
      </c>
      <c r="O5" s="8">
        <v>3.9999999999999987</v>
      </c>
      <c r="P5" s="8">
        <v>15.999999999999995</v>
      </c>
      <c r="Q5" s="8">
        <v>0</v>
      </c>
      <c r="R5" s="8">
        <v>15.999999999999995</v>
      </c>
      <c r="S5" s="8">
        <v>0</v>
      </c>
      <c r="T5" s="10">
        <v>0.15384615384615385</v>
      </c>
      <c r="U5" s="8">
        <v>0.34722222222222232</v>
      </c>
      <c r="V5" s="14">
        <v>5.3418803418803437E-2</v>
      </c>
      <c r="W5" s="14">
        <f t="shared" si="0"/>
        <v>5.3418803418803433</v>
      </c>
      <c r="X5" s="8">
        <v>2.7211538461538463</v>
      </c>
      <c r="Y5" s="8">
        <v>2.7692307692307692</v>
      </c>
      <c r="Z5" s="8">
        <v>3.1758241758241761</v>
      </c>
      <c r="AA5" s="10">
        <v>2.8887362637362632</v>
      </c>
      <c r="AB5" s="10">
        <v>47.218406593406584</v>
      </c>
      <c r="AC5" s="10">
        <f t="shared" si="1"/>
        <v>76.406186406186407</v>
      </c>
    </row>
    <row r="6" spans="1:29" s="3" customFormat="1" x14ac:dyDescent="0.3">
      <c r="A6" s="6" t="s">
        <v>32</v>
      </c>
      <c r="B6" s="7">
        <v>5</v>
      </c>
      <c r="C6" s="7">
        <v>2.1119402985074629</v>
      </c>
      <c r="D6" s="7">
        <v>1.1977611940298507</v>
      </c>
      <c r="E6" s="7">
        <v>1.3731343283582091</v>
      </c>
      <c r="F6" s="7">
        <v>1</v>
      </c>
      <c r="G6" s="7">
        <v>2.0597014925373136</v>
      </c>
      <c r="H6" s="11">
        <v>1.5485074626865669</v>
      </c>
      <c r="I6" s="11">
        <v>13.712686567164173</v>
      </c>
      <c r="J6" s="8">
        <v>0</v>
      </c>
      <c r="K6" s="8">
        <v>0</v>
      </c>
      <c r="L6" s="8">
        <v>47.058823529411747</v>
      </c>
      <c r="M6" s="8">
        <v>0</v>
      </c>
      <c r="N6" s="8">
        <v>15.686274509803914</v>
      </c>
      <c r="O6" s="8">
        <v>11.764705882352935</v>
      </c>
      <c r="P6" s="8">
        <v>5.8823529411764675</v>
      </c>
      <c r="Q6" s="8">
        <v>1.9607843137254892</v>
      </c>
      <c r="R6" s="8">
        <v>13.725490196078423</v>
      </c>
      <c r="S6" s="8">
        <v>3.9215686274509785</v>
      </c>
      <c r="T6" s="10">
        <v>0.11940298507462686</v>
      </c>
      <c r="U6" s="8">
        <v>0.3541666666666668</v>
      </c>
      <c r="V6" s="14">
        <v>4.2288557213930364E-2</v>
      </c>
      <c r="W6" s="14">
        <f t="shared" si="0"/>
        <v>4.2288557213930362</v>
      </c>
      <c r="X6" s="8">
        <v>2.1156716417910446</v>
      </c>
      <c r="Y6" s="8">
        <v>2.7288557213930349</v>
      </c>
      <c r="Z6" s="8">
        <v>3.0724946695095952</v>
      </c>
      <c r="AA6" s="10">
        <v>2.6390073442312252</v>
      </c>
      <c r="AB6" s="10">
        <v>40.975183605780629</v>
      </c>
      <c r="AC6" s="10">
        <f t="shared" si="1"/>
        <v>80.361091368554057</v>
      </c>
    </row>
    <row r="7" spans="1:29" s="3" customFormat="1" x14ac:dyDescent="0.3">
      <c r="A7" s="6" t="s">
        <v>32</v>
      </c>
      <c r="B7" s="7">
        <v>6</v>
      </c>
      <c r="C7" s="7">
        <v>2.65625</v>
      </c>
      <c r="D7" s="7">
        <v>1.0125</v>
      </c>
      <c r="E7" s="7">
        <v>1.1916666666666669</v>
      </c>
      <c r="F7" s="7">
        <v>1.0062500000000001</v>
      </c>
      <c r="G7" s="7">
        <v>2.0812499999999998</v>
      </c>
      <c r="H7" s="11">
        <v>1.5895833333333336</v>
      </c>
      <c r="I7" s="11">
        <v>14.739583333333339</v>
      </c>
      <c r="J7" s="8">
        <v>0</v>
      </c>
      <c r="K7" s="8">
        <v>0</v>
      </c>
      <c r="L7" s="8">
        <v>46.153846153846153</v>
      </c>
      <c r="M7" s="8">
        <v>0</v>
      </c>
      <c r="N7" s="8">
        <v>15.384615384615383</v>
      </c>
      <c r="O7" s="8">
        <v>7.6923076923076916</v>
      </c>
      <c r="P7" s="8">
        <v>7.6923076923076916</v>
      </c>
      <c r="Q7" s="8">
        <v>0</v>
      </c>
      <c r="R7" s="8">
        <v>15.384615384615383</v>
      </c>
      <c r="S7" s="8">
        <v>7.6923076923076916</v>
      </c>
      <c r="T7" s="10">
        <v>0.05</v>
      </c>
      <c r="U7" s="8">
        <v>0.36111111111111116</v>
      </c>
      <c r="V7" s="14">
        <v>1.8055555555555557E-2</v>
      </c>
      <c r="W7" s="14">
        <f t="shared" si="0"/>
        <v>1.8055555555555558</v>
      </c>
      <c r="X7" s="8">
        <v>2.2937500000000002</v>
      </c>
      <c r="Y7" s="8">
        <v>2.5499999999999998</v>
      </c>
      <c r="Z7" s="8">
        <v>3.0678571428571426</v>
      </c>
      <c r="AA7" s="10">
        <v>2.6372023809523806</v>
      </c>
      <c r="AB7" s="10">
        <v>40.930059523809511</v>
      </c>
      <c r="AC7" s="10">
        <f t="shared" si="1"/>
        <v>80.841600529100532</v>
      </c>
    </row>
    <row r="8" spans="1:29" s="3" customFormat="1" x14ac:dyDescent="0.3">
      <c r="A8" s="6" t="s">
        <v>32</v>
      </c>
      <c r="B8" s="7">
        <v>7</v>
      </c>
      <c r="C8" s="7">
        <v>1.7295081967213115</v>
      </c>
      <c r="D8" s="7">
        <v>1.0532786885245902</v>
      </c>
      <c r="E8" s="7">
        <v>1.1693989071038253</v>
      </c>
      <c r="F8" s="7">
        <v>1.0204918032786885</v>
      </c>
      <c r="G8" s="7">
        <v>1.4344262295081966</v>
      </c>
      <c r="H8" s="11">
        <v>1.2814207650273222</v>
      </c>
      <c r="I8" s="11">
        <v>7.035519125683054</v>
      </c>
      <c r="J8" s="8">
        <v>6.8181818181818166</v>
      </c>
      <c r="K8" s="8">
        <v>6.8181818181818166</v>
      </c>
      <c r="L8" s="8">
        <v>40.909090909090892</v>
      </c>
      <c r="M8" s="8">
        <v>0</v>
      </c>
      <c r="N8" s="8">
        <v>13.636363636363633</v>
      </c>
      <c r="O8" s="8">
        <v>11.36363636363636</v>
      </c>
      <c r="P8" s="8">
        <v>4.5454545454545441</v>
      </c>
      <c r="Q8" s="8">
        <v>0</v>
      </c>
      <c r="R8" s="8">
        <v>15.909090909090903</v>
      </c>
      <c r="S8" s="8">
        <v>0</v>
      </c>
      <c r="T8" s="10">
        <v>0.11475409836065574</v>
      </c>
      <c r="U8" s="8">
        <v>0.3492063492063493</v>
      </c>
      <c r="V8" s="14">
        <v>4.0072859744990905E-2</v>
      </c>
      <c r="W8" s="14">
        <f t="shared" si="0"/>
        <v>4.0072859744990907</v>
      </c>
      <c r="X8" s="8">
        <v>1.971311475409836</v>
      </c>
      <c r="Y8" s="8">
        <v>2.6311475409836067</v>
      </c>
      <c r="Z8" s="8">
        <v>2.9274004683840746</v>
      </c>
      <c r="AA8" s="10">
        <v>2.5099531615925055</v>
      </c>
      <c r="AB8" s="10">
        <v>37.748829039812634</v>
      </c>
      <c r="AC8" s="10">
        <f t="shared" si="1"/>
        <v>83.736121953335072</v>
      </c>
    </row>
    <row r="9" spans="1:29" s="3" customFormat="1" x14ac:dyDescent="0.3">
      <c r="A9" s="6" t="s">
        <v>32</v>
      </c>
      <c r="B9" s="7">
        <v>8</v>
      </c>
      <c r="C9" s="7">
        <v>1.8511904761904763</v>
      </c>
      <c r="D9" s="7">
        <v>1.2261904761904763</v>
      </c>
      <c r="E9" s="7">
        <v>1.5079365079365077</v>
      </c>
      <c r="F9" s="7">
        <v>1.0476190476190477</v>
      </c>
      <c r="G9" s="7">
        <v>2.2380952380952381</v>
      </c>
      <c r="H9" s="11">
        <v>1.5742063492063494</v>
      </c>
      <c r="I9" s="11">
        <v>14.355158730158735</v>
      </c>
      <c r="J9" s="8">
        <v>5.8823529411764701</v>
      </c>
      <c r="K9" s="8">
        <v>2.9411764705882351</v>
      </c>
      <c r="L9" s="8">
        <v>44.117647058823529</v>
      </c>
      <c r="M9" s="8">
        <v>0</v>
      </c>
      <c r="N9" s="8">
        <v>15.686274509803921</v>
      </c>
      <c r="O9" s="8">
        <v>14.705882352941178</v>
      </c>
      <c r="P9" s="8">
        <v>0.98039215686274506</v>
      </c>
      <c r="Q9" s="8">
        <v>0</v>
      </c>
      <c r="R9" s="8">
        <v>15.686274509803921</v>
      </c>
      <c r="S9" s="8">
        <v>0</v>
      </c>
      <c r="T9" s="10">
        <v>0.38095238095238093</v>
      </c>
      <c r="U9" s="8">
        <v>0.35416666666666669</v>
      </c>
      <c r="V9" s="14">
        <v>0.13492063492063491</v>
      </c>
      <c r="W9" s="14">
        <f t="shared" si="0"/>
        <v>13.492063492063492</v>
      </c>
      <c r="X9" s="8">
        <v>2.0595238095238093</v>
      </c>
      <c r="Y9" s="8">
        <v>2.71031746031746</v>
      </c>
      <c r="Z9" s="8">
        <v>3.0578231292517009</v>
      </c>
      <c r="AA9" s="10">
        <v>2.6092214663643229</v>
      </c>
      <c r="AB9" s="10">
        <v>40.230536659108076</v>
      </c>
      <c r="AC9" s="10">
        <f t="shared" si="1"/>
        <v>77.30741370622323</v>
      </c>
    </row>
    <row r="10" spans="1:29" s="3" customFormat="1" x14ac:dyDescent="0.3">
      <c r="A10" s="6" t="s">
        <v>32</v>
      </c>
      <c r="B10" s="7">
        <v>9</v>
      </c>
      <c r="C10" s="7">
        <v>1.4375</v>
      </c>
      <c r="D10" s="7">
        <v>1.09375</v>
      </c>
      <c r="E10" s="7">
        <v>1.1111111111111112</v>
      </c>
      <c r="F10" s="7">
        <v>1.0104166666666667</v>
      </c>
      <c r="G10" s="7">
        <v>1.75</v>
      </c>
      <c r="H10" s="11">
        <v>1.2805555555555557</v>
      </c>
      <c r="I10" s="11">
        <v>7.0138888888888919</v>
      </c>
      <c r="J10" s="8">
        <v>0</v>
      </c>
      <c r="K10" s="8">
        <v>0</v>
      </c>
      <c r="L10" s="8">
        <v>49.999999999999986</v>
      </c>
      <c r="M10" s="8">
        <v>0</v>
      </c>
      <c r="N10" s="8">
        <v>16.666666666666661</v>
      </c>
      <c r="O10" s="8">
        <v>16.666666666666661</v>
      </c>
      <c r="P10" s="8">
        <v>0</v>
      </c>
      <c r="Q10" s="8">
        <v>0</v>
      </c>
      <c r="R10" s="8">
        <v>16.666666666666661</v>
      </c>
      <c r="S10" s="8">
        <v>0</v>
      </c>
      <c r="T10" s="10">
        <v>0.29166666666666669</v>
      </c>
      <c r="U10" s="8">
        <v>0.33333333333333343</v>
      </c>
      <c r="V10" s="14">
        <v>9.7222222222222252E-2</v>
      </c>
      <c r="W10" s="14">
        <f t="shared" si="0"/>
        <v>9.722222222222225</v>
      </c>
      <c r="X10" s="8">
        <v>2.1770833333333335</v>
      </c>
      <c r="Y10" s="8">
        <v>2.673611111111112</v>
      </c>
      <c r="Z10" s="8">
        <v>2.9166666666666674</v>
      </c>
      <c r="AA10" s="10">
        <v>2.5891203703703707</v>
      </c>
      <c r="AB10" s="10">
        <v>39.728009259259267</v>
      </c>
      <c r="AC10" s="10">
        <f t="shared" si="1"/>
        <v>81.178626543209873</v>
      </c>
    </row>
    <row r="11" spans="1:29" s="3" customFormat="1" x14ac:dyDescent="0.3">
      <c r="A11" s="6" t="s">
        <v>32</v>
      </c>
      <c r="B11" s="7">
        <v>10</v>
      </c>
      <c r="C11" s="7">
        <v>1.8681818181818182</v>
      </c>
      <c r="D11" s="7">
        <v>1.1863636363636363</v>
      </c>
      <c r="E11" s="7">
        <v>1.2969696969696971</v>
      </c>
      <c r="F11" s="7">
        <v>1.009090909090909</v>
      </c>
      <c r="G11" s="7">
        <v>2.1818181818181817</v>
      </c>
      <c r="H11" s="11">
        <v>1.508484848484849</v>
      </c>
      <c r="I11" s="11">
        <v>12.712121212121225</v>
      </c>
      <c r="J11" s="8">
        <v>1.796407185628742</v>
      </c>
      <c r="K11" s="8">
        <v>0</v>
      </c>
      <c r="L11" s="8">
        <v>48.50299401197605</v>
      </c>
      <c r="M11" s="8">
        <v>0</v>
      </c>
      <c r="N11" s="8">
        <v>16.167664670658681</v>
      </c>
      <c r="O11" s="8">
        <v>16.167664670658681</v>
      </c>
      <c r="P11" s="8">
        <v>0.59880239520958078</v>
      </c>
      <c r="Q11" s="8">
        <v>0</v>
      </c>
      <c r="R11" s="8">
        <v>16.167664670658681</v>
      </c>
      <c r="S11" s="8">
        <v>0.59880239520958078</v>
      </c>
      <c r="T11" s="10">
        <v>0.49090909090909091</v>
      </c>
      <c r="U11" s="8">
        <v>0.34362139917695472</v>
      </c>
      <c r="V11" s="14">
        <v>0.16868686868686869</v>
      </c>
      <c r="W11" s="14">
        <f t="shared" si="0"/>
        <v>16.868686868686869</v>
      </c>
      <c r="X11" s="8">
        <v>2.1227272727272726</v>
      </c>
      <c r="Y11" s="8">
        <v>2.8484848484848486</v>
      </c>
      <c r="Z11" s="8">
        <v>3.1948051948051948</v>
      </c>
      <c r="AA11" s="10">
        <v>2.7220057720057729</v>
      </c>
      <c r="AB11" s="10">
        <v>43.050144300144325</v>
      </c>
      <c r="AC11" s="10">
        <f t="shared" si="1"/>
        <v>75.789682539682531</v>
      </c>
    </row>
    <row r="12" spans="1:29" s="3" customFormat="1" x14ac:dyDescent="0.3">
      <c r="A12" s="6" t="s">
        <v>32</v>
      </c>
      <c r="B12" s="7">
        <v>11</v>
      </c>
      <c r="C12" s="7">
        <v>2.4245283018867925</v>
      </c>
      <c r="D12" s="7">
        <v>1</v>
      </c>
      <c r="E12" s="7">
        <v>1.0125786163522013</v>
      </c>
      <c r="F12" s="7">
        <v>1.0518867924528301</v>
      </c>
      <c r="G12" s="7">
        <v>2.1037735849056602</v>
      </c>
      <c r="H12" s="11">
        <v>1.5185534591194971</v>
      </c>
      <c r="I12" s="11">
        <v>12.963836477987428</v>
      </c>
      <c r="J12" s="8">
        <v>0</v>
      </c>
      <c r="K12" s="8">
        <v>0</v>
      </c>
      <c r="L12" s="8">
        <v>47.142857142857132</v>
      </c>
      <c r="M12" s="8">
        <v>0</v>
      </c>
      <c r="N12" s="8">
        <v>15.714285714285712</v>
      </c>
      <c r="O12" s="8">
        <v>15.714285714285712</v>
      </c>
      <c r="P12" s="8">
        <v>2.8571428571428559</v>
      </c>
      <c r="Q12" s="8">
        <v>1.4285714285714279</v>
      </c>
      <c r="R12" s="8">
        <v>15.714285714285712</v>
      </c>
      <c r="S12" s="8">
        <v>1.4285714285714279</v>
      </c>
      <c r="T12" s="10">
        <v>0.20754716981132076</v>
      </c>
      <c r="U12" s="8">
        <v>0.35353535353535359</v>
      </c>
      <c r="V12" s="14">
        <v>7.3375262054507354E-2</v>
      </c>
      <c r="W12" s="14">
        <f t="shared" si="0"/>
        <v>7.3375262054507351</v>
      </c>
      <c r="X12" s="8">
        <v>2.2264150943396226</v>
      </c>
      <c r="Y12" s="8">
        <v>2.5786163522012577</v>
      </c>
      <c r="Z12" s="8">
        <v>2.9757412398921823</v>
      </c>
      <c r="AA12" s="10">
        <v>2.593590895477687</v>
      </c>
      <c r="AB12" s="10">
        <v>39.839772386942172</v>
      </c>
      <c r="AC12" s="10">
        <f t="shared" si="1"/>
        <v>79.952954976539885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91B9-284F-431E-9233-33F15A182614}">
  <dimension ref="A1:AD11"/>
  <sheetViews>
    <sheetView topLeftCell="F1" workbookViewId="0">
      <selection activeCell="N2" sqref="N2"/>
    </sheetView>
  </sheetViews>
  <sheetFormatPr defaultRowHeight="14.4" x14ac:dyDescent="0.3"/>
  <cols>
    <col min="30" max="30" width="9.5546875" bestFit="1" customWidth="1"/>
  </cols>
  <sheetData>
    <row r="1" spans="1:30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9" t="s">
        <v>6</v>
      </c>
      <c r="J1" s="9" t="s">
        <v>7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9" t="s">
        <v>8</v>
      </c>
      <c r="V1" s="1" t="s">
        <v>9</v>
      </c>
      <c r="W1" s="9" t="s">
        <v>10</v>
      </c>
      <c r="X1" s="9" t="s">
        <v>34</v>
      </c>
      <c r="Y1" s="1" t="s">
        <v>11</v>
      </c>
      <c r="Z1" s="1" t="s">
        <v>12</v>
      </c>
      <c r="AA1" s="1" t="s">
        <v>13</v>
      </c>
      <c r="AB1" s="9" t="s">
        <v>14</v>
      </c>
      <c r="AC1" s="9" t="s">
        <v>15</v>
      </c>
      <c r="AD1" s="13" t="s">
        <v>16</v>
      </c>
    </row>
    <row r="2" spans="1:30" s="3" customFormat="1" x14ac:dyDescent="0.3">
      <c r="A2" s="6" t="s">
        <v>18</v>
      </c>
      <c r="B2" s="7">
        <v>1</v>
      </c>
      <c r="C2" s="8">
        <v>2.8210227272727271</v>
      </c>
      <c r="D2" s="8">
        <v>2.78125</v>
      </c>
      <c r="E2" s="8">
        <v>2.7234848484848486</v>
      </c>
      <c r="F2" s="8">
        <f>((E2-1)/4)*100</f>
        <v>43.087121212121218</v>
      </c>
      <c r="G2" s="8">
        <v>1.9488636363636365</v>
      </c>
      <c r="H2" s="8">
        <v>2.4119318181818183</v>
      </c>
      <c r="I2" s="10">
        <v>2.5373106060606054</v>
      </c>
      <c r="J2">
        <v>38.432000000000002</v>
      </c>
      <c r="K2" s="8">
        <v>2.2988505747126431</v>
      </c>
      <c r="L2" s="8">
        <v>1.1494252873563215</v>
      </c>
      <c r="M2" s="8">
        <v>33.333333333333329</v>
      </c>
      <c r="N2" s="8">
        <v>29.885057471264364</v>
      </c>
      <c r="O2" s="8">
        <v>6.1302681992337158</v>
      </c>
      <c r="P2" s="8">
        <v>9.1954022988505724</v>
      </c>
      <c r="Q2" s="8">
        <v>9.5785440613026811</v>
      </c>
      <c r="R2" s="8">
        <v>0.38314176245210724</v>
      </c>
      <c r="S2" s="8">
        <v>6.8965517241379306</v>
      </c>
      <c r="T2" s="8">
        <v>1.1494252873563215</v>
      </c>
      <c r="U2" s="10">
        <v>0.32954545454545453</v>
      </c>
      <c r="V2" s="8">
        <v>0.50000000000000011</v>
      </c>
      <c r="W2" s="14">
        <v>0.16477272727272729</v>
      </c>
      <c r="X2" s="14">
        <f t="shared" ref="X2:X10" si="0">W2*100</f>
        <v>16.47727272727273</v>
      </c>
      <c r="Y2" s="8">
        <v>2.3551136363636362</v>
      </c>
      <c r="Z2" s="8">
        <v>2.4583333333333335</v>
      </c>
      <c r="AA2" s="8">
        <v>3.5681818181818183</v>
      </c>
      <c r="AB2" s="10">
        <v>2.793876262626263</v>
      </c>
      <c r="AC2" s="10">
        <v>44.846906565656575</v>
      </c>
      <c r="AD2" s="10">
        <f t="shared" ref="AD2:AD10" si="1">100-AVERAGE(J2,X2,AC2)</f>
        <v>66.747940235690237</v>
      </c>
    </row>
    <row r="3" spans="1:30" s="3" customFormat="1" x14ac:dyDescent="0.3">
      <c r="A3" s="6" t="s">
        <v>18</v>
      </c>
      <c r="B3" s="7">
        <v>2</v>
      </c>
      <c r="C3" s="8">
        <v>2.8414634146341462</v>
      </c>
      <c r="D3" s="8">
        <v>2.7682926829268291</v>
      </c>
      <c r="E3" s="8">
        <v>2.9512195121951219</v>
      </c>
      <c r="F3" s="8">
        <f t="shared" ref="F3:F10" si="2">((E3-1)/4)*100</f>
        <v>48.780487804878049</v>
      </c>
      <c r="G3" s="8">
        <v>1.9247967479674797</v>
      </c>
      <c r="H3" s="8">
        <v>2.7560975609756095</v>
      </c>
      <c r="I3" s="10">
        <v>2.6483739837398375</v>
      </c>
      <c r="J3">
        <v>41.209000000000003</v>
      </c>
      <c r="K3" s="8">
        <v>0.87209302325581395</v>
      </c>
      <c r="L3" s="8">
        <v>2.6162790697674416</v>
      </c>
      <c r="M3" s="8">
        <v>31.395348837209301</v>
      </c>
      <c r="N3" s="8">
        <v>28.779069767441861</v>
      </c>
      <c r="O3" s="8">
        <v>8.1395348837209287</v>
      </c>
      <c r="P3" s="8">
        <v>10.755813953488373</v>
      </c>
      <c r="Q3" s="8">
        <v>8.720930232558139</v>
      </c>
      <c r="R3" s="8">
        <v>0.29069767441860467</v>
      </c>
      <c r="S3" s="8">
        <v>7.5581395348837219</v>
      </c>
      <c r="T3" s="8">
        <v>0.87209302325581395</v>
      </c>
      <c r="U3" s="10">
        <v>0.31707317073170732</v>
      </c>
      <c r="V3" s="8">
        <v>0.49002849002849003</v>
      </c>
      <c r="W3" s="14">
        <v>0.15537488708220415</v>
      </c>
      <c r="X3" s="14">
        <f t="shared" si="0"/>
        <v>15.537488708220415</v>
      </c>
      <c r="Y3" s="8">
        <v>2.4695121951219514</v>
      </c>
      <c r="Z3" s="8">
        <v>2.5582655826558267</v>
      </c>
      <c r="AA3" s="8">
        <v>3.5354239256678262</v>
      </c>
      <c r="AB3" s="10">
        <v>2.8544005678152033</v>
      </c>
      <c r="AC3" s="10">
        <v>46.360014195380082</v>
      </c>
      <c r="AD3" s="10">
        <f t="shared" si="1"/>
        <v>65.631165698799833</v>
      </c>
    </row>
    <row r="4" spans="1:30" s="3" customFormat="1" x14ac:dyDescent="0.3">
      <c r="A4" s="6" t="s">
        <v>18</v>
      </c>
      <c r="B4" s="7">
        <v>3</v>
      </c>
      <c r="C4" s="8">
        <v>2.7773109243697478</v>
      </c>
      <c r="D4" s="8">
        <v>2.6134453781512605</v>
      </c>
      <c r="E4" s="8">
        <v>2.8627450980392153</v>
      </c>
      <c r="F4" s="8">
        <f t="shared" si="2"/>
        <v>46.568627450980379</v>
      </c>
      <c r="G4" s="8">
        <v>1.8907563025210083</v>
      </c>
      <c r="H4" s="8">
        <v>2.4873949579831933</v>
      </c>
      <c r="I4" s="10">
        <v>2.5263305322128846</v>
      </c>
      <c r="J4">
        <v>38.158000000000001</v>
      </c>
      <c r="K4" s="8">
        <v>0.85959885386819468</v>
      </c>
      <c r="L4" s="8">
        <v>2.5787965616045843</v>
      </c>
      <c r="M4" s="8">
        <v>32.664756446991397</v>
      </c>
      <c r="N4" s="8">
        <v>27.50716332378223</v>
      </c>
      <c r="O4" s="8">
        <v>8.5959885386819472</v>
      </c>
      <c r="P4" s="8">
        <v>9.7421203438395398</v>
      </c>
      <c r="Q4" s="8">
        <v>8.5959885386819472</v>
      </c>
      <c r="R4" s="8">
        <v>0.8595988538681949</v>
      </c>
      <c r="S4" s="8">
        <v>6.5902578796561597</v>
      </c>
      <c r="T4" s="8">
        <v>2.005730659025788</v>
      </c>
      <c r="U4" s="10">
        <v>0.32773109243697479</v>
      </c>
      <c r="V4" s="8">
        <v>0.49715099715099714</v>
      </c>
      <c r="W4" s="14">
        <v>0.16293183940242764</v>
      </c>
      <c r="X4" s="14">
        <f t="shared" si="0"/>
        <v>16.293183940242763</v>
      </c>
      <c r="Y4" s="8">
        <v>2.3571428571428572</v>
      </c>
      <c r="Z4" s="8">
        <v>2.5042016806722667</v>
      </c>
      <c r="AA4" s="8">
        <v>3.2713085234093633</v>
      </c>
      <c r="AB4" s="10">
        <v>2.7108843537414979</v>
      </c>
      <c r="AC4" s="10">
        <v>42.772108843537445</v>
      </c>
      <c r="AD4" s="10">
        <f t="shared" si="1"/>
        <v>67.59223573873993</v>
      </c>
    </row>
    <row r="5" spans="1:30" s="3" customFormat="1" x14ac:dyDescent="0.3">
      <c r="A5" s="6" t="s">
        <v>18</v>
      </c>
      <c r="B5" s="7">
        <v>4</v>
      </c>
      <c r="C5" s="8">
        <v>2.375</v>
      </c>
      <c r="D5" s="8">
        <v>2.1689189189189189</v>
      </c>
      <c r="E5" s="8">
        <v>2.5810810810810816</v>
      </c>
      <c r="F5" s="8">
        <f t="shared" si="2"/>
        <v>39.527027027027039</v>
      </c>
      <c r="G5" s="8">
        <v>1.9797297297297298</v>
      </c>
      <c r="H5" s="8">
        <v>2.2297297297297298</v>
      </c>
      <c r="I5" s="10">
        <v>2.2668918918918921</v>
      </c>
      <c r="J5" s="10">
        <v>31.672297297297302</v>
      </c>
      <c r="K5" s="8">
        <v>0</v>
      </c>
      <c r="L5" s="8">
        <v>3.8834951456310676</v>
      </c>
      <c r="M5" s="8">
        <v>34.95145631067961</v>
      </c>
      <c r="N5" s="8">
        <v>31.067961165048541</v>
      </c>
      <c r="O5" s="8">
        <v>5.1779935275080904</v>
      </c>
      <c r="P5" s="8">
        <v>9.3851132686084124</v>
      </c>
      <c r="Q5" s="8">
        <v>7.1197411003236235</v>
      </c>
      <c r="R5" s="8">
        <v>0</v>
      </c>
      <c r="S5" s="8">
        <v>7.7669902912621351</v>
      </c>
      <c r="T5" s="8">
        <v>0.6472491909385113</v>
      </c>
      <c r="U5" s="10">
        <v>0.48648648648648651</v>
      </c>
      <c r="V5" s="8">
        <v>0.47685185185185186</v>
      </c>
      <c r="W5" s="14">
        <v>0.231981981981982</v>
      </c>
      <c r="X5" s="14">
        <f t="shared" si="0"/>
        <v>23.198198198198199</v>
      </c>
      <c r="Y5" s="8">
        <v>2.3074324324324325</v>
      </c>
      <c r="Z5" s="8">
        <v>2.7927927927927936</v>
      </c>
      <c r="AA5" s="8">
        <v>3.2162162162162162</v>
      </c>
      <c r="AB5" s="10">
        <v>2.7721471471471468</v>
      </c>
      <c r="AC5" s="10">
        <v>44.303678678678672</v>
      </c>
      <c r="AD5" s="10">
        <f t="shared" si="1"/>
        <v>66.941941941941934</v>
      </c>
    </row>
    <row r="6" spans="1:30" s="3" customFormat="1" x14ac:dyDescent="0.3">
      <c r="A6" s="6" t="s">
        <v>18</v>
      </c>
      <c r="B6" s="7">
        <v>5</v>
      </c>
      <c r="C6" s="8">
        <v>2.673228346456693</v>
      </c>
      <c r="D6" s="8">
        <v>2.8681102362204722</v>
      </c>
      <c r="E6" s="8">
        <v>2.8451443569553794</v>
      </c>
      <c r="F6" s="8">
        <f t="shared" si="2"/>
        <v>46.128608923884485</v>
      </c>
      <c r="G6" s="8">
        <v>1.889763779527559</v>
      </c>
      <c r="H6" s="8">
        <v>2.9448818897637796</v>
      </c>
      <c r="I6" s="10">
        <v>2.6442257217847756</v>
      </c>
      <c r="J6" s="10">
        <v>41.105643044619391</v>
      </c>
      <c r="K6" s="8">
        <v>0</v>
      </c>
      <c r="L6" s="8">
        <v>0.55045871559633008</v>
      </c>
      <c r="M6" s="8">
        <v>31.92660550458714</v>
      </c>
      <c r="N6" s="8">
        <v>24.220183486238518</v>
      </c>
      <c r="O6" s="8">
        <v>8.8073394495412813</v>
      </c>
      <c r="P6" s="8">
        <v>8.6238532110091697</v>
      </c>
      <c r="Q6" s="8">
        <v>10.458715596330268</v>
      </c>
      <c r="R6" s="8">
        <v>4.03669724770642</v>
      </c>
      <c r="S6" s="8">
        <v>9.724770642201829</v>
      </c>
      <c r="T6" s="8">
        <v>1.6513761467889898</v>
      </c>
      <c r="U6" s="10">
        <v>0.46456692913385828</v>
      </c>
      <c r="V6" s="8">
        <v>0.5131826741996236</v>
      </c>
      <c r="W6" s="14">
        <v>0.23840769903762041</v>
      </c>
      <c r="X6" s="14">
        <f t="shared" si="0"/>
        <v>23.840769903762041</v>
      </c>
      <c r="Y6" s="8">
        <v>2.5885826771653542</v>
      </c>
      <c r="Z6" s="8">
        <v>2.7834645669291347</v>
      </c>
      <c r="AA6" s="8">
        <v>3.4983127109111374</v>
      </c>
      <c r="AB6" s="10">
        <v>2.9567866516685406</v>
      </c>
      <c r="AC6" s="10">
        <v>48.919666291713511</v>
      </c>
      <c r="AD6" s="10">
        <f t="shared" si="1"/>
        <v>62.044640253301687</v>
      </c>
    </row>
    <row r="7" spans="1:30" s="3" customFormat="1" x14ac:dyDescent="0.3">
      <c r="A7" s="6" t="s">
        <v>18</v>
      </c>
      <c r="B7" s="7">
        <v>6</v>
      </c>
      <c r="C7" s="8">
        <v>2.98</v>
      </c>
      <c r="D7" s="8">
        <v>2.88</v>
      </c>
      <c r="E7" s="8">
        <v>2.9111111111111123</v>
      </c>
      <c r="F7" s="8">
        <f t="shared" si="2"/>
        <v>47.777777777777807</v>
      </c>
      <c r="G7" s="8">
        <v>1.94</v>
      </c>
      <c r="H7" s="8">
        <v>3.0366666666666666</v>
      </c>
      <c r="I7" s="10">
        <v>2.7495555555555584</v>
      </c>
      <c r="J7" s="10">
        <v>43.738888888888958</v>
      </c>
      <c r="K7" s="8">
        <v>0</v>
      </c>
      <c r="L7" s="8">
        <v>0</v>
      </c>
      <c r="M7" s="8">
        <v>33.818181818181806</v>
      </c>
      <c r="N7" s="8">
        <v>22.909090909090899</v>
      </c>
      <c r="O7" s="8">
        <v>10.545454545454541</v>
      </c>
      <c r="P7" s="8">
        <v>7.9999999999999964</v>
      </c>
      <c r="Q7" s="8">
        <v>10.545454545454541</v>
      </c>
      <c r="R7" s="8">
        <v>0</v>
      </c>
      <c r="S7" s="8">
        <v>10.909090909090907</v>
      </c>
      <c r="T7" s="8">
        <v>3.2727272727272716</v>
      </c>
      <c r="U7" s="10">
        <v>0.42666666666666669</v>
      </c>
      <c r="V7" s="8">
        <v>0.47743055555555569</v>
      </c>
      <c r="W7" s="14">
        <v>0.20370370370370378</v>
      </c>
      <c r="X7" s="14">
        <f t="shared" si="0"/>
        <v>20.370370370370377</v>
      </c>
      <c r="Y7" s="8">
        <v>2.5866666666666664</v>
      </c>
      <c r="Z7" s="8">
        <v>2.8911111111111114</v>
      </c>
      <c r="AA7" s="8">
        <v>3.5390476190476194</v>
      </c>
      <c r="AB7" s="10">
        <v>3.0056084656084661</v>
      </c>
      <c r="AC7" s="10">
        <v>50.140211640211653</v>
      </c>
      <c r="AD7" s="10">
        <f t="shared" si="1"/>
        <v>61.916843033509672</v>
      </c>
    </row>
    <row r="8" spans="1:30" s="3" customFormat="1" x14ac:dyDescent="0.3">
      <c r="A8" s="6" t="s">
        <v>18</v>
      </c>
      <c r="B8" s="7">
        <v>7</v>
      </c>
      <c r="C8" s="8">
        <v>3.3676470588235294</v>
      </c>
      <c r="D8" s="8">
        <v>3.0686274509803924</v>
      </c>
      <c r="E8" s="8">
        <v>3.2614379084967315</v>
      </c>
      <c r="F8" s="8">
        <f t="shared" si="2"/>
        <v>56.535947712418292</v>
      </c>
      <c r="G8" s="8">
        <v>2.4901960784313726</v>
      </c>
      <c r="H8" s="8">
        <v>3.4313725490196076</v>
      </c>
      <c r="I8" s="10">
        <v>3.1238562091503268</v>
      </c>
      <c r="J8" s="10">
        <v>53.096405228758172</v>
      </c>
      <c r="K8" s="8">
        <v>0</v>
      </c>
      <c r="L8" s="8">
        <v>5.1282051282051277</v>
      </c>
      <c r="M8" s="8">
        <v>34.615384615384613</v>
      </c>
      <c r="N8" s="8">
        <v>17.948717948717952</v>
      </c>
      <c r="O8" s="8">
        <v>8.5470085470085468</v>
      </c>
      <c r="P8" s="8">
        <v>5.5555555555555554</v>
      </c>
      <c r="Q8" s="8">
        <v>10.683760683760683</v>
      </c>
      <c r="R8" s="8">
        <v>2.9914529914529915</v>
      </c>
      <c r="S8" s="8">
        <v>11.111111111111111</v>
      </c>
      <c r="T8" s="8">
        <v>3.4188034188034186</v>
      </c>
      <c r="U8" s="10">
        <v>0.52941176470588236</v>
      </c>
      <c r="V8" s="8">
        <v>0.48148148148148145</v>
      </c>
      <c r="W8" s="14">
        <v>0.25490196078431371</v>
      </c>
      <c r="X8" s="14">
        <f t="shared" si="0"/>
        <v>25.490196078431371</v>
      </c>
      <c r="Y8" s="8">
        <v>2.7107843137254903</v>
      </c>
      <c r="Z8" s="8">
        <v>3.3398692810457513</v>
      </c>
      <c r="AA8" s="8">
        <v>3.5182072829131643</v>
      </c>
      <c r="AB8" s="10">
        <v>3.1896202925614681</v>
      </c>
      <c r="AC8" s="10">
        <v>54.740507314036705</v>
      </c>
      <c r="AD8" s="10">
        <f t="shared" si="1"/>
        <v>55.557630459591252</v>
      </c>
    </row>
    <row r="9" spans="1:30" s="3" customFormat="1" x14ac:dyDescent="0.3">
      <c r="A9" s="6" t="s">
        <v>18</v>
      </c>
      <c r="B9" s="7">
        <v>8</v>
      </c>
      <c r="C9" s="8">
        <v>3.0327380952380953</v>
      </c>
      <c r="D9" s="8">
        <v>2.7976190476190474</v>
      </c>
      <c r="E9" s="8">
        <v>3.3611111111111103</v>
      </c>
      <c r="F9" s="8">
        <f t="shared" si="2"/>
        <v>59.027777777777757</v>
      </c>
      <c r="G9" s="8">
        <v>1.8035714285714286</v>
      </c>
      <c r="H9" s="8">
        <v>2.4166666666666665</v>
      </c>
      <c r="I9" s="10">
        <v>2.682341269841269</v>
      </c>
      <c r="J9" s="10">
        <v>42.058531746031726</v>
      </c>
      <c r="K9" s="8">
        <v>3.7974683544303787</v>
      </c>
      <c r="L9" s="8">
        <v>13.291139240506325</v>
      </c>
      <c r="M9" s="8">
        <v>37.974683544303787</v>
      </c>
      <c r="N9" s="8">
        <v>7.5949367088607573</v>
      </c>
      <c r="O9" s="8">
        <v>7.5949367088607573</v>
      </c>
      <c r="P9" s="8">
        <v>7.5949367088607573</v>
      </c>
      <c r="Q9" s="8">
        <v>6.9620253164556933</v>
      </c>
      <c r="R9" s="8">
        <v>0</v>
      </c>
      <c r="S9" s="8">
        <v>10.126582278481008</v>
      </c>
      <c r="T9" s="8">
        <v>5.063291139240504</v>
      </c>
      <c r="U9" s="10">
        <v>0.25</v>
      </c>
      <c r="V9" s="8">
        <v>0.41798941798941813</v>
      </c>
      <c r="W9" s="14">
        <v>0.10449735449735453</v>
      </c>
      <c r="X9" s="14">
        <f t="shared" si="0"/>
        <v>10.449735449735453</v>
      </c>
      <c r="Y9" s="8">
        <v>2.3214285714285716</v>
      </c>
      <c r="Z9" s="8">
        <v>2.4781746031746033</v>
      </c>
      <c r="AA9" s="8">
        <v>3.6054421768707479</v>
      </c>
      <c r="AB9" s="10">
        <v>2.8016817838246393</v>
      </c>
      <c r="AC9" s="10">
        <v>45.042044595615984</v>
      </c>
      <c r="AD9" s="10">
        <f t="shared" si="1"/>
        <v>67.483229402872269</v>
      </c>
    </row>
    <row r="10" spans="1:30" s="3" customFormat="1" x14ac:dyDescent="0.3">
      <c r="A10" s="6" t="s">
        <v>18</v>
      </c>
      <c r="B10" s="7">
        <v>9</v>
      </c>
      <c r="C10" s="8">
        <v>2.6235294117647059</v>
      </c>
      <c r="D10" s="8">
        <v>2.5147058823529411</v>
      </c>
      <c r="E10" s="8">
        <v>2.933333333333334</v>
      </c>
      <c r="F10" s="8">
        <f t="shared" si="2"/>
        <v>48.33333333333335</v>
      </c>
      <c r="G10" s="8">
        <v>1.7970588235294118</v>
      </c>
      <c r="H10" s="8">
        <v>2.1823529411764704</v>
      </c>
      <c r="I10" s="10">
        <v>2.4101960784313725</v>
      </c>
      <c r="J10" s="10">
        <v>35.254901960784309</v>
      </c>
      <c r="K10" s="8">
        <v>0</v>
      </c>
      <c r="L10" s="8">
        <v>0</v>
      </c>
      <c r="M10" s="8">
        <v>36.090225563909769</v>
      </c>
      <c r="N10" s="8">
        <v>29.323308270676691</v>
      </c>
      <c r="O10" s="8">
        <v>6.0150375939849612</v>
      </c>
      <c r="P10" s="8">
        <v>10.526315789473681</v>
      </c>
      <c r="Q10" s="8">
        <v>9.3984962406015029</v>
      </c>
      <c r="R10" s="8">
        <v>0</v>
      </c>
      <c r="S10" s="8">
        <v>6.7669172932330826</v>
      </c>
      <c r="T10" s="8">
        <v>1.8796992481203003</v>
      </c>
      <c r="U10" s="10">
        <v>0.37647058823529411</v>
      </c>
      <c r="V10" s="8">
        <v>0.46180555555555564</v>
      </c>
      <c r="W10" s="14">
        <v>0.17385620915032682</v>
      </c>
      <c r="X10" s="14">
        <f t="shared" si="0"/>
        <v>17.385620915032682</v>
      </c>
      <c r="Y10" s="8">
        <v>2.0647058823529414</v>
      </c>
      <c r="Z10" s="8">
        <v>2.5294117647058818</v>
      </c>
      <c r="AA10" s="8">
        <v>3.4252100840336124</v>
      </c>
      <c r="AB10" s="10">
        <v>2.6731092436974779</v>
      </c>
      <c r="AC10" s="10">
        <v>41.827731092436949</v>
      </c>
      <c r="AD10" s="10">
        <f t="shared" si="1"/>
        <v>68.510582010582013</v>
      </c>
    </row>
    <row r="11" spans="1:30" x14ac:dyDescent="0.3">
      <c r="J11">
        <f>AVERAGE(J2:J10)</f>
        <v>40.525074240708875</v>
      </c>
      <c r="X11" s="15">
        <f>AVERAGE(X2:X10)</f>
        <v>18.782537365696228</v>
      </c>
      <c r="AC11">
        <f>AVERAGE(AC2:AC10)</f>
        <v>46.550318801918621</v>
      </c>
      <c r="AD11" s="16">
        <f>AVERAGE(AD2:AD10)</f>
        <v>64.71402319722543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BCC3-4186-4325-B909-BA16AF1782DF}">
  <dimension ref="A1:AC15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33</v>
      </c>
      <c r="B2" s="7">
        <v>1</v>
      </c>
      <c r="C2" s="7">
        <v>1.4763157894736842</v>
      </c>
      <c r="D2" s="7">
        <v>1.3078947368421052</v>
      </c>
      <c r="E2" s="7">
        <v>2.7929824561403507</v>
      </c>
      <c r="F2" s="7">
        <v>1.1447368421052631</v>
      </c>
      <c r="G2" s="7">
        <v>1.918421052631579</v>
      </c>
      <c r="H2" s="11">
        <v>1.7280701754385972</v>
      </c>
      <c r="I2" s="11">
        <v>18.201754385964929</v>
      </c>
      <c r="J2" s="8">
        <v>24.424778761061951</v>
      </c>
      <c r="K2" s="8">
        <v>23.36283185840708</v>
      </c>
      <c r="L2" s="8">
        <v>15.398230088495577</v>
      </c>
      <c r="M2" s="8">
        <v>14.867256637168142</v>
      </c>
      <c r="N2" s="8">
        <v>10.442477876106196</v>
      </c>
      <c r="O2" s="8">
        <v>3.8938053097345131</v>
      </c>
      <c r="P2" s="8">
        <v>0</v>
      </c>
      <c r="Q2" s="8">
        <v>0</v>
      </c>
      <c r="R2" s="8">
        <v>7.0796460176991154</v>
      </c>
      <c r="S2" s="8">
        <v>0.53097345132743368</v>
      </c>
      <c r="T2" s="10">
        <v>0.66315789473684206</v>
      </c>
      <c r="U2" s="8">
        <v>0.4982363315696649</v>
      </c>
      <c r="V2" s="14">
        <v>0.33040935672514615</v>
      </c>
      <c r="W2" s="14">
        <f t="shared" ref="W2:W15" si="0">V2*100</f>
        <v>33.040935672514614</v>
      </c>
      <c r="X2" s="8">
        <v>3.5263157894736841</v>
      </c>
      <c r="Y2" s="8">
        <v>2.4789473684210521</v>
      </c>
      <c r="Z2" s="8">
        <v>3.2526315789473692</v>
      </c>
      <c r="AA2" s="10">
        <v>3.0859649122807027</v>
      </c>
      <c r="AB2" s="10">
        <v>52.149122807017569</v>
      </c>
      <c r="AC2" s="10">
        <f t="shared" ref="AC2:AC15" si="1">100-AVERAGE(I2,W2,AB2)</f>
        <v>65.536062378167628</v>
      </c>
    </row>
    <row r="3" spans="1:29" s="3" customFormat="1" x14ac:dyDescent="0.3">
      <c r="A3" s="6" t="s">
        <v>33</v>
      </c>
      <c r="B3" s="7">
        <v>2</v>
      </c>
      <c r="C3" s="7">
        <v>2.25</v>
      </c>
      <c r="D3" s="7">
        <v>1.5</v>
      </c>
      <c r="E3" s="7">
        <v>3.359649122807018</v>
      </c>
      <c r="F3" s="7">
        <v>1.111842105263158</v>
      </c>
      <c r="G3" s="7">
        <v>2.0592105263157894</v>
      </c>
      <c r="H3" s="11">
        <v>2.0561403508771932</v>
      </c>
      <c r="I3" s="11">
        <v>26.403508771929829</v>
      </c>
      <c r="J3" s="8">
        <v>15.189873417721516</v>
      </c>
      <c r="K3" s="8">
        <v>15.189873417721516</v>
      </c>
      <c r="L3" s="8">
        <v>32.278481012658219</v>
      </c>
      <c r="M3" s="8">
        <v>3.7974683544303791</v>
      </c>
      <c r="N3" s="8">
        <v>12.658227848101264</v>
      </c>
      <c r="O3" s="8">
        <v>9.4936708860759484</v>
      </c>
      <c r="P3" s="8">
        <v>0</v>
      </c>
      <c r="Q3" s="8">
        <v>0</v>
      </c>
      <c r="R3" s="8">
        <v>10.126582278481012</v>
      </c>
      <c r="S3" s="8">
        <v>1.2658227848101264</v>
      </c>
      <c r="T3" s="10">
        <v>0.52631578947368418</v>
      </c>
      <c r="U3" s="8">
        <v>0.43888888888888894</v>
      </c>
      <c r="V3" s="14">
        <v>0.23099415204678364</v>
      </c>
      <c r="W3" s="14">
        <f t="shared" si="0"/>
        <v>23.099415204678365</v>
      </c>
      <c r="X3" s="8">
        <v>2.125</v>
      </c>
      <c r="Y3" s="8">
        <v>2.6228070175438591</v>
      </c>
      <c r="Z3" s="8">
        <v>3.1917293233082695</v>
      </c>
      <c r="AA3" s="10">
        <v>2.6465121136173768</v>
      </c>
      <c r="AB3" s="10">
        <v>41.162802840434424</v>
      </c>
      <c r="AC3" s="10">
        <f t="shared" si="1"/>
        <v>69.778091060985801</v>
      </c>
    </row>
    <row r="4" spans="1:29" s="3" customFormat="1" x14ac:dyDescent="0.3">
      <c r="A4" s="6" t="s">
        <v>33</v>
      </c>
      <c r="B4" s="7">
        <v>3</v>
      </c>
      <c r="C4" s="7">
        <v>2.8919753086419755</v>
      </c>
      <c r="D4" s="7">
        <v>2.1666666666666665</v>
      </c>
      <c r="E4" s="7">
        <v>4.2716049382716061</v>
      </c>
      <c r="F4" s="7">
        <v>1.2777777777777777</v>
      </c>
      <c r="G4" s="7">
        <v>2.0493827160493829</v>
      </c>
      <c r="H4" s="11">
        <v>2.5314814814814817</v>
      </c>
      <c r="I4" s="11">
        <v>38.287037037037038</v>
      </c>
      <c r="J4" s="8">
        <v>8.823529411764703</v>
      </c>
      <c r="K4" s="8">
        <v>10.294117647058821</v>
      </c>
      <c r="L4" s="8">
        <v>39.705882352941167</v>
      </c>
      <c r="M4" s="8">
        <v>5.8823529411764683</v>
      </c>
      <c r="N4" s="8">
        <v>12.74509803921568</v>
      </c>
      <c r="O4" s="8">
        <v>7.3529411764705861</v>
      </c>
      <c r="P4" s="8">
        <v>0</v>
      </c>
      <c r="Q4" s="8">
        <v>0</v>
      </c>
      <c r="R4" s="8">
        <v>11.274509803921566</v>
      </c>
      <c r="S4" s="8">
        <v>3.9215686274509789</v>
      </c>
      <c r="T4" s="10">
        <v>0.33333333333333331</v>
      </c>
      <c r="U4" s="8">
        <v>0.41975308641975317</v>
      </c>
      <c r="V4" s="14">
        <v>0.13991769547325106</v>
      </c>
      <c r="W4" s="14">
        <f t="shared" si="0"/>
        <v>13.991769547325106</v>
      </c>
      <c r="X4" s="8">
        <v>2.4320987654320989</v>
      </c>
      <c r="Y4" s="8">
        <v>2.6399176954732506</v>
      </c>
      <c r="Z4" s="8">
        <v>3.3756613756613745</v>
      </c>
      <c r="AA4" s="10">
        <v>2.8158926121889079</v>
      </c>
      <c r="AB4" s="10">
        <v>45.397315304722696</v>
      </c>
      <c r="AC4" s="10">
        <f t="shared" si="1"/>
        <v>67.441292703638396</v>
      </c>
    </row>
    <row r="5" spans="1:29" s="3" customFormat="1" x14ac:dyDescent="0.3">
      <c r="A5" s="6" t="s">
        <v>33</v>
      </c>
      <c r="B5" s="7">
        <v>4</v>
      </c>
      <c r="C5" s="7">
        <v>1.3967391304347827</v>
      </c>
      <c r="D5" s="7">
        <v>1.2228260869565217</v>
      </c>
      <c r="E5" s="7">
        <v>2.8297101449275366</v>
      </c>
      <c r="F5" s="7">
        <v>1.1956521739130435</v>
      </c>
      <c r="G5" s="7">
        <v>2.4375</v>
      </c>
      <c r="H5" s="11">
        <v>1.8164855072463768</v>
      </c>
      <c r="I5" s="11">
        <v>20.412137681159422</v>
      </c>
      <c r="J5" s="8">
        <v>25.3125</v>
      </c>
      <c r="K5" s="8">
        <v>21.5625</v>
      </c>
      <c r="L5" s="8">
        <v>17.34375</v>
      </c>
      <c r="M5" s="8">
        <v>13.593749999999998</v>
      </c>
      <c r="N5" s="8">
        <v>10.15625</v>
      </c>
      <c r="O5" s="8">
        <v>3.5937499999999996</v>
      </c>
      <c r="P5" s="8">
        <v>0.46875</v>
      </c>
      <c r="Q5" s="8">
        <v>0.15625</v>
      </c>
      <c r="R5" s="8">
        <v>7.34375</v>
      </c>
      <c r="S5" s="8">
        <v>0.46875</v>
      </c>
      <c r="T5" s="10">
        <v>0.70652173913043481</v>
      </c>
      <c r="U5" s="8">
        <v>0.54700854700854695</v>
      </c>
      <c r="V5" s="14">
        <v>0.38647342995169082</v>
      </c>
      <c r="W5" s="14">
        <f t="shared" si="0"/>
        <v>38.647342995169083</v>
      </c>
      <c r="X5" s="8">
        <v>3.1548913043478262</v>
      </c>
      <c r="Y5" s="8">
        <v>2.510869565217392</v>
      </c>
      <c r="Z5" s="8">
        <v>3.1754658385093175</v>
      </c>
      <c r="AA5" s="10">
        <v>2.9470755693581778</v>
      </c>
      <c r="AB5" s="10">
        <v>48.676889233954448</v>
      </c>
      <c r="AC5" s="10">
        <f t="shared" si="1"/>
        <v>64.087876696572351</v>
      </c>
    </row>
    <row r="6" spans="1:29" s="3" customFormat="1" x14ac:dyDescent="0.3">
      <c r="A6" s="6" t="s">
        <v>33</v>
      </c>
      <c r="B6" s="7">
        <v>5</v>
      </c>
      <c r="C6" s="7">
        <v>1.8819444444444444</v>
      </c>
      <c r="D6" s="7">
        <v>2.0138888888888888</v>
      </c>
      <c r="E6" s="7">
        <v>2.8425925925925926</v>
      </c>
      <c r="F6" s="7">
        <v>1.5763888888888888</v>
      </c>
      <c r="G6" s="7">
        <v>2.0069444444444446</v>
      </c>
      <c r="H6" s="11">
        <v>2.0643518518518515</v>
      </c>
      <c r="I6" s="11">
        <v>26.608796296296291</v>
      </c>
      <c r="J6" s="8">
        <v>10.526315789473687</v>
      </c>
      <c r="K6" s="8">
        <v>10.526315789473687</v>
      </c>
      <c r="L6" s="8">
        <v>26.315789473684216</v>
      </c>
      <c r="M6" s="8">
        <v>10.526315789473687</v>
      </c>
      <c r="N6" s="8">
        <v>14.035087719298248</v>
      </c>
      <c r="O6" s="8">
        <v>12.280701754385968</v>
      </c>
      <c r="P6" s="8">
        <v>0</v>
      </c>
      <c r="Q6" s="8">
        <v>0</v>
      </c>
      <c r="R6" s="8">
        <v>14.035087719298248</v>
      </c>
      <c r="S6" s="8">
        <v>1.754385964912281</v>
      </c>
      <c r="T6" s="10">
        <v>0.44444444444444442</v>
      </c>
      <c r="U6" s="8">
        <v>0.39583333333333326</v>
      </c>
      <c r="V6" s="14">
        <v>0.17592592592592587</v>
      </c>
      <c r="W6" s="14">
        <f t="shared" si="0"/>
        <v>17.592592592592588</v>
      </c>
      <c r="X6" s="8">
        <v>2.7777777777777777</v>
      </c>
      <c r="Y6" s="8">
        <v>2.88425925925926</v>
      </c>
      <c r="Z6" s="8">
        <v>3.6071428571428581</v>
      </c>
      <c r="AA6" s="10">
        <v>3.0897266313932978</v>
      </c>
      <c r="AB6" s="10">
        <v>52.243165784832449</v>
      </c>
      <c r="AC6" s="10">
        <f t="shared" si="1"/>
        <v>67.851815108759553</v>
      </c>
    </row>
    <row r="7" spans="1:29" s="3" customFormat="1" x14ac:dyDescent="0.3">
      <c r="A7" s="6" t="s">
        <v>33</v>
      </c>
      <c r="B7" s="7">
        <v>6</v>
      </c>
      <c r="C7" s="7">
        <v>2.5260416666666665</v>
      </c>
      <c r="D7" s="7">
        <v>2.21875</v>
      </c>
      <c r="E7" s="7">
        <v>1.9236111111111109</v>
      </c>
      <c r="F7" s="7">
        <v>2.1979166666666665</v>
      </c>
      <c r="G7" s="7">
        <v>2.4427083333333335</v>
      </c>
      <c r="H7" s="11">
        <v>2.2618055555555552</v>
      </c>
      <c r="I7" s="11">
        <v>31.545138888888879</v>
      </c>
      <c r="J7" s="8">
        <v>27.272727272727266</v>
      </c>
      <c r="K7" s="8">
        <v>9.9173553719008254</v>
      </c>
      <c r="L7" s="8">
        <v>32.231404958677679</v>
      </c>
      <c r="M7" s="8">
        <v>4.9586776859504127</v>
      </c>
      <c r="N7" s="8">
        <v>11.157024793388429</v>
      </c>
      <c r="O7" s="8">
        <v>1.2396694214876032</v>
      </c>
      <c r="P7" s="8">
        <v>0.41322314049586767</v>
      </c>
      <c r="Q7" s="8">
        <v>0.41322314049586767</v>
      </c>
      <c r="R7" s="8">
        <v>10.330578512396693</v>
      </c>
      <c r="S7" s="8">
        <v>2.0661157024793386</v>
      </c>
      <c r="T7" s="10">
        <v>0.5625</v>
      </c>
      <c r="U7" s="8">
        <v>0.49794238683127579</v>
      </c>
      <c r="V7" s="14">
        <v>0.28009259259259262</v>
      </c>
      <c r="W7" s="14">
        <f t="shared" si="0"/>
        <v>28.009259259259263</v>
      </c>
      <c r="X7" s="8">
        <v>3.2135416666666665</v>
      </c>
      <c r="Y7" s="8">
        <v>3.3819444444444446</v>
      </c>
      <c r="Z7" s="8">
        <v>4.0892857142857144</v>
      </c>
      <c r="AA7" s="10">
        <v>3.5615906084656088</v>
      </c>
      <c r="AB7" s="10">
        <v>64.039765211640216</v>
      </c>
      <c r="AC7" s="10">
        <f t="shared" si="1"/>
        <v>58.801945546737215</v>
      </c>
    </row>
    <row r="8" spans="1:29" s="3" customFormat="1" x14ac:dyDescent="0.3">
      <c r="A8" s="6" t="s">
        <v>33</v>
      </c>
      <c r="B8" s="7">
        <v>7</v>
      </c>
      <c r="C8" s="7">
        <v>2.5499999999999998</v>
      </c>
      <c r="D8" s="7">
        <v>2.1888888888888891</v>
      </c>
      <c r="E8" s="7">
        <v>3.7777777777777777</v>
      </c>
      <c r="F8" s="7">
        <v>1.5222222222222221</v>
      </c>
      <c r="G8" s="7">
        <v>2.0055555555555555</v>
      </c>
      <c r="H8" s="11">
        <v>2.4088888888888889</v>
      </c>
      <c r="I8" s="11">
        <v>35.222222222222221</v>
      </c>
      <c r="J8" s="8">
        <v>8.4112149532710259</v>
      </c>
      <c r="K8" s="8">
        <v>16.822429906542052</v>
      </c>
      <c r="L8" s="8">
        <v>33.644859813084103</v>
      </c>
      <c r="M8" s="8">
        <v>5.6074766355140184</v>
      </c>
      <c r="N8" s="8">
        <v>12.14953271028037</v>
      </c>
      <c r="O8" s="8">
        <v>7.4766355140186906</v>
      </c>
      <c r="P8" s="8">
        <v>0</v>
      </c>
      <c r="Q8" s="8">
        <v>0.93457943925233633</v>
      </c>
      <c r="R8" s="8">
        <v>10.280373831775698</v>
      </c>
      <c r="S8" s="8">
        <v>4.6728971962616814</v>
      </c>
      <c r="T8" s="10">
        <v>0.28888888888888886</v>
      </c>
      <c r="U8" s="8">
        <v>0.45726495726495736</v>
      </c>
      <c r="V8" s="14">
        <v>0.13209876543209878</v>
      </c>
      <c r="W8" s="14">
        <f t="shared" si="0"/>
        <v>13.209876543209878</v>
      </c>
      <c r="X8" s="8">
        <v>2.8944444444444444</v>
      </c>
      <c r="Y8" s="8">
        <v>2.7703703703703706</v>
      </c>
      <c r="Z8" s="8">
        <v>3.4412698412698406</v>
      </c>
      <c r="AA8" s="10">
        <v>3.0353615520282187</v>
      </c>
      <c r="AB8" s="10">
        <v>50.884038800705468</v>
      </c>
      <c r="AC8" s="10">
        <f t="shared" si="1"/>
        <v>66.894620811287467</v>
      </c>
    </row>
    <row r="9" spans="1:29" s="3" customFormat="1" x14ac:dyDescent="0.3">
      <c r="A9" s="6" t="s">
        <v>33</v>
      </c>
      <c r="B9" s="7">
        <v>8</v>
      </c>
      <c r="C9" s="7">
        <v>2.5862068965517242</v>
      </c>
      <c r="D9" s="7">
        <v>2.9741379310344827</v>
      </c>
      <c r="E9" s="7">
        <v>2.5862068965517242</v>
      </c>
      <c r="F9" s="7">
        <v>2.6724137931034484</v>
      </c>
      <c r="G9" s="7">
        <v>2.5775862068965516</v>
      </c>
      <c r="H9" s="11">
        <v>2.6793103448275861</v>
      </c>
      <c r="I9" s="11">
        <v>41.982758620689651</v>
      </c>
      <c r="J9" s="8">
        <v>0</v>
      </c>
      <c r="K9" s="8">
        <v>0</v>
      </c>
      <c r="L9" s="8">
        <v>36.885245901639344</v>
      </c>
      <c r="M9" s="8">
        <v>17.21311475409836</v>
      </c>
      <c r="N9" s="8">
        <v>13.934426229508196</v>
      </c>
      <c r="O9" s="8">
        <v>13.934426229508196</v>
      </c>
      <c r="P9" s="8">
        <v>0.81967213114754089</v>
      </c>
      <c r="Q9" s="8">
        <v>0.81967213114754089</v>
      </c>
      <c r="R9" s="8">
        <v>13.934426229508196</v>
      </c>
      <c r="S9" s="8">
        <v>2.459016393442623</v>
      </c>
      <c r="T9" s="10">
        <v>0.58620689655172409</v>
      </c>
      <c r="U9" s="8">
        <v>0.39869281045751637</v>
      </c>
      <c r="V9" s="14">
        <v>0.23371647509578544</v>
      </c>
      <c r="W9" s="14">
        <f t="shared" si="0"/>
        <v>23.371647509578544</v>
      </c>
      <c r="X9" s="8">
        <v>3.3706896551724137</v>
      </c>
      <c r="Y9" s="8">
        <v>3.3218390804597702</v>
      </c>
      <c r="Z9" s="8">
        <v>3.4236453201970436</v>
      </c>
      <c r="AA9" s="10">
        <v>3.3720580186097435</v>
      </c>
      <c r="AB9" s="10">
        <v>59.30145046524359</v>
      </c>
      <c r="AC9" s="10">
        <f t="shared" si="1"/>
        <v>58.448047801496074</v>
      </c>
    </row>
    <row r="10" spans="1:29" s="3" customFormat="1" x14ac:dyDescent="0.3">
      <c r="A10" s="6" t="s">
        <v>33</v>
      </c>
      <c r="B10" s="7">
        <v>9</v>
      </c>
      <c r="C10" s="7">
        <v>2.0416666666666665</v>
      </c>
      <c r="D10" s="7">
        <v>2.2175925925925926</v>
      </c>
      <c r="E10" s="7">
        <v>2.3395061728395059</v>
      </c>
      <c r="F10" s="7">
        <v>1.962962962962963</v>
      </c>
      <c r="G10" s="7">
        <v>1.9074074074074074</v>
      </c>
      <c r="H10" s="11">
        <v>2.0938271604938277</v>
      </c>
      <c r="I10" s="11">
        <v>27.345679012345691</v>
      </c>
      <c r="J10" s="8">
        <v>4.225352112676056</v>
      </c>
      <c r="K10" s="8">
        <v>12.676056338028168</v>
      </c>
      <c r="L10" s="8">
        <v>21.12676056338028</v>
      </c>
      <c r="M10" s="8">
        <v>23.239436619718308</v>
      </c>
      <c r="N10" s="8">
        <v>12.676056338028168</v>
      </c>
      <c r="O10" s="8">
        <v>11.971830985915494</v>
      </c>
      <c r="P10" s="8">
        <v>0.70422535211267601</v>
      </c>
      <c r="Q10" s="8">
        <v>2.112676056338028</v>
      </c>
      <c r="R10" s="8">
        <v>11.267605633802816</v>
      </c>
      <c r="S10" s="8">
        <v>0</v>
      </c>
      <c r="T10" s="10">
        <v>0.33333333333333331</v>
      </c>
      <c r="U10" s="8">
        <v>0.43827160493827161</v>
      </c>
      <c r="V10" s="14">
        <v>0.14609053497942387</v>
      </c>
      <c r="W10" s="14">
        <f t="shared" si="0"/>
        <v>14.609053497942387</v>
      </c>
      <c r="X10" s="8">
        <v>2.4120370370370372</v>
      </c>
      <c r="Y10" s="8">
        <v>2.8518518518518516</v>
      </c>
      <c r="Z10" s="8">
        <v>3.3253968253968242</v>
      </c>
      <c r="AA10" s="10">
        <v>2.8630952380952372</v>
      </c>
      <c r="AB10" s="10">
        <v>46.577380952380935</v>
      </c>
      <c r="AC10" s="10">
        <f t="shared" si="1"/>
        <v>70.489295512443661</v>
      </c>
    </row>
    <row r="11" spans="1:29" s="3" customFormat="1" x14ac:dyDescent="0.3">
      <c r="A11" s="6" t="s">
        <v>33</v>
      </c>
      <c r="B11" s="7">
        <v>10</v>
      </c>
      <c r="C11" s="7">
        <v>2.1621621621621623</v>
      </c>
      <c r="D11" s="7">
        <v>2.310810810810811</v>
      </c>
      <c r="E11" s="7">
        <v>2.2162162162162158</v>
      </c>
      <c r="F11" s="7">
        <v>2.2297297297297298</v>
      </c>
      <c r="G11" s="7">
        <v>2.1824324324324325</v>
      </c>
      <c r="H11" s="11">
        <v>2.2202702702702704</v>
      </c>
      <c r="I11" s="11">
        <v>30.506756756756758</v>
      </c>
      <c r="J11" s="8">
        <v>6.6666666666666652</v>
      </c>
      <c r="K11" s="8">
        <v>0</v>
      </c>
      <c r="L11" s="8">
        <v>39.999999999999993</v>
      </c>
      <c r="M11" s="8">
        <v>6.6666666666666652</v>
      </c>
      <c r="N11" s="8">
        <v>15.555555555555554</v>
      </c>
      <c r="O11" s="8">
        <v>15.555555555555554</v>
      </c>
      <c r="P11" s="8">
        <v>0</v>
      </c>
      <c r="Q11" s="8">
        <v>0</v>
      </c>
      <c r="R11" s="8">
        <v>15.555555555555554</v>
      </c>
      <c r="S11" s="8">
        <v>0</v>
      </c>
      <c r="T11" s="10">
        <v>0.1891891891891892</v>
      </c>
      <c r="U11" s="8">
        <v>0.35714285714285721</v>
      </c>
      <c r="V11" s="14">
        <v>6.7567567567567585E-2</v>
      </c>
      <c r="W11" s="14">
        <f t="shared" si="0"/>
        <v>6.7567567567567588</v>
      </c>
      <c r="X11" s="8">
        <v>2.6148648648648649</v>
      </c>
      <c r="Y11" s="8">
        <v>3.0090090090090094</v>
      </c>
      <c r="Z11" s="8">
        <v>3.2779922779922783</v>
      </c>
      <c r="AA11" s="10">
        <v>2.9672887172887172</v>
      </c>
      <c r="AB11" s="10">
        <v>49.182217932217931</v>
      </c>
      <c r="AC11" s="10">
        <f t="shared" si="1"/>
        <v>71.184756184756182</v>
      </c>
    </row>
    <row r="12" spans="1:29" s="3" customFormat="1" x14ac:dyDescent="0.3">
      <c r="A12" s="6" t="s">
        <v>33</v>
      </c>
      <c r="B12" s="7">
        <v>11</v>
      </c>
      <c r="C12" s="7">
        <v>3.5526315789473686</v>
      </c>
      <c r="D12" s="7">
        <v>3.3486842105263159</v>
      </c>
      <c r="E12" s="7">
        <v>2.9561403508771926</v>
      </c>
      <c r="F12" s="7">
        <v>3.2697368421052633</v>
      </c>
      <c r="G12" s="7">
        <v>3.6973684210526314</v>
      </c>
      <c r="H12" s="11">
        <v>3.3649122807017537</v>
      </c>
      <c r="I12" s="11">
        <v>26.666666666666671</v>
      </c>
      <c r="J12" s="8">
        <v>16.57458563535911</v>
      </c>
      <c r="K12" s="8">
        <v>1.6574585635359109</v>
      </c>
      <c r="L12" s="8">
        <v>33.14917127071822</v>
      </c>
      <c r="M12" s="8">
        <v>13.259668508287287</v>
      </c>
      <c r="N12" s="8">
        <v>11.602209944751378</v>
      </c>
      <c r="O12" s="8">
        <v>7.7348066298342513</v>
      </c>
      <c r="P12" s="8">
        <v>0</v>
      </c>
      <c r="Q12" s="8">
        <v>1.6574585635359109</v>
      </c>
      <c r="R12" s="8">
        <v>11.602209944751378</v>
      </c>
      <c r="S12" s="8">
        <v>2.7624309392265181</v>
      </c>
      <c r="T12" s="10">
        <v>0.55263157894736847</v>
      </c>
      <c r="U12" s="8">
        <v>0.47883597883597889</v>
      </c>
      <c r="V12" s="14">
        <v>0.26461988304093575</v>
      </c>
      <c r="W12" s="14">
        <f t="shared" si="0"/>
        <v>26.461988304093577</v>
      </c>
      <c r="X12" s="8">
        <v>4.2171052631578947</v>
      </c>
      <c r="Y12" s="8">
        <v>3.2807017543859645</v>
      </c>
      <c r="Z12" s="8">
        <v>3.981203007518797</v>
      </c>
      <c r="AA12" s="10">
        <v>3.8263366750208863</v>
      </c>
      <c r="AB12" s="10">
        <v>70.65841687552215</v>
      </c>
      <c r="AC12" s="10">
        <f t="shared" si="1"/>
        <v>58.737642717905864</v>
      </c>
    </row>
    <row r="13" spans="1:29" s="3" customFormat="1" x14ac:dyDescent="0.3">
      <c r="A13" s="6" t="s">
        <v>33</v>
      </c>
      <c r="B13" s="7">
        <v>12</v>
      </c>
      <c r="C13" s="7">
        <v>2.8552631578947367</v>
      </c>
      <c r="D13" s="7">
        <v>2.9144736842105261</v>
      </c>
      <c r="E13" s="7">
        <v>3.1403508771929816</v>
      </c>
      <c r="F13" s="7">
        <v>2.0657894736842106</v>
      </c>
      <c r="G13" s="7">
        <v>3.0460526315789473</v>
      </c>
      <c r="H13" s="11">
        <v>2.8043859649122811</v>
      </c>
      <c r="I13" s="11">
        <v>45.109649122807028</v>
      </c>
      <c r="J13" s="8">
        <v>25.531914893617014</v>
      </c>
      <c r="K13" s="8">
        <v>3.1914893617021267</v>
      </c>
      <c r="L13" s="8">
        <v>31.914893617021274</v>
      </c>
      <c r="M13" s="8">
        <v>3.1914893617021267</v>
      </c>
      <c r="N13" s="8">
        <v>11.702127659574465</v>
      </c>
      <c r="O13" s="8">
        <v>7.446808510638296</v>
      </c>
      <c r="P13" s="8">
        <v>1.0638297872340423</v>
      </c>
      <c r="Q13" s="8">
        <v>1.0638297872340423</v>
      </c>
      <c r="R13" s="8">
        <v>11.702127659574465</v>
      </c>
      <c r="S13" s="8">
        <v>3.1914893617021267</v>
      </c>
      <c r="T13" s="10">
        <v>0.28947368421052633</v>
      </c>
      <c r="U13" s="8">
        <v>0.47474747474747475</v>
      </c>
      <c r="V13" s="14">
        <v>0.13742690058479534</v>
      </c>
      <c r="W13" s="14">
        <f t="shared" si="0"/>
        <v>13.742690058479534</v>
      </c>
      <c r="X13" s="8">
        <v>3.8947368421052633</v>
      </c>
      <c r="Y13" s="8">
        <v>3.1184210526315792</v>
      </c>
      <c r="Z13" s="8">
        <v>3.8233082706766917</v>
      </c>
      <c r="AA13" s="10">
        <v>3.6121553884711788</v>
      </c>
      <c r="AB13" s="10">
        <v>65.303884711779475</v>
      </c>
      <c r="AC13" s="10">
        <f t="shared" si="1"/>
        <v>58.614592035644655</v>
      </c>
    </row>
    <row r="14" spans="1:29" s="3" customFormat="1" x14ac:dyDescent="0.3">
      <c r="A14" s="6" t="s">
        <v>33</v>
      </c>
      <c r="B14" s="7">
        <v>13</v>
      </c>
      <c r="C14" s="7">
        <v>4.0250000000000004</v>
      </c>
      <c r="D14" s="7">
        <v>3.5750000000000002</v>
      </c>
      <c r="E14" s="7">
        <v>2.6333333333333333</v>
      </c>
      <c r="F14" s="7">
        <v>2.85</v>
      </c>
      <c r="G14" s="7">
        <v>4.4749999999999996</v>
      </c>
      <c r="H14" s="11">
        <v>3.5116666666666667</v>
      </c>
      <c r="I14" s="11">
        <v>62.791666666666671</v>
      </c>
      <c r="J14" s="8">
        <v>10.112359550561797</v>
      </c>
      <c r="K14" s="8">
        <v>6.7415730337078648</v>
      </c>
      <c r="L14" s="8">
        <v>30.337078651685388</v>
      </c>
      <c r="M14" s="8">
        <v>6.7415730337078648</v>
      </c>
      <c r="N14" s="8">
        <v>10.112359550561797</v>
      </c>
      <c r="O14" s="8">
        <v>10.112359550561797</v>
      </c>
      <c r="P14" s="8">
        <v>2.2471910112359552</v>
      </c>
      <c r="Q14" s="8">
        <v>10.112359550561797</v>
      </c>
      <c r="R14" s="8">
        <v>10.112359550561797</v>
      </c>
      <c r="S14" s="8">
        <v>3.3707865168539324</v>
      </c>
      <c r="T14" s="10">
        <v>0.9</v>
      </c>
      <c r="U14" s="8">
        <v>0.54938271604938271</v>
      </c>
      <c r="V14" s="14">
        <v>0.49444444444444446</v>
      </c>
      <c r="W14" s="14">
        <f t="shared" si="0"/>
        <v>49.444444444444443</v>
      </c>
      <c r="X14" s="8">
        <v>4.9000000000000004</v>
      </c>
      <c r="Y14" s="8">
        <v>3.583333333333333</v>
      </c>
      <c r="Z14" s="8">
        <v>4.1142857142857157</v>
      </c>
      <c r="AA14" s="10">
        <v>4.1992063492063485</v>
      </c>
      <c r="AB14" s="10">
        <v>79.980158730158706</v>
      </c>
      <c r="AC14" s="10">
        <f t="shared" si="1"/>
        <v>35.927910052910065</v>
      </c>
    </row>
    <row r="15" spans="1:29" s="3" customFormat="1" x14ac:dyDescent="0.3">
      <c r="A15" s="6" t="s">
        <v>33</v>
      </c>
      <c r="B15" s="7">
        <v>14</v>
      </c>
      <c r="C15" s="7">
        <v>2.2441176470588236</v>
      </c>
      <c r="D15" s="7">
        <v>1.7088235294117646</v>
      </c>
      <c r="E15" s="7">
        <v>2.7843137254901955</v>
      </c>
      <c r="F15" s="7">
        <v>1.4617647058823529</v>
      </c>
      <c r="G15" s="7">
        <v>2.8823529411764706</v>
      </c>
      <c r="H15" s="11">
        <v>2.216274509803922</v>
      </c>
      <c r="I15" s="11">
        <v>30.406862745098053</v>
      </c>
      <c r="J15" s="8">
        <v>15.283018867924525</v>
      </c>
      <c r="K15" s="8">
        <v>16.415094339622637</v>
      </c>
      <c r="L15" s="8">
        <v>24.905660377358487</v>
      </c>
      <c r="M15" s="8">
        <v>15.849056603773581</v>
      </c>
      <c r="N15" s="8">
        <v>10.566037735849054</v>
      </c>
      <c r="O15" s="8">
        <v>6.7924528301886777</v>
      </c>
      <c r="P15" s="8">
        <v>0.18867924528301883</v>
      </c>
      <c r="Q15" s="8">
        <v>0.94339622641509413</v>
      </c>
      <c r="R15" s="8">
        <v>7.547169811320753</v>
      </c>
      <c r="S15" s="8">
        <v>1.5094339622641506</v>
      </c>
      <c r="T15" s="10">
        <v>0.69411764705882351</v>
      </c>
      <c r="U15" s="8">
        <v>0.49905838041431266</v>
      </c>
      <c r="V15" s="14">
        <v>0.34640522875816998</v>
      </c>
      <c r="W15" s="14">
        <f t="shared" si="0"/>
        <v>34.640522875816998</v>
      </c>
      <c r="X15" s="8">
        <v>3.9529411764705884</v>
      </c>
      <c r="Y15" s="8">
        <v>2.7078431372549021</v>
      </c>
      <c r="Z15" s="8">
        <v>3.4621848739495804</v>
      </c>
      <c r="AA15" s="10">
        <v>3.3743230625583571</v>
      </c>
      <c r="AB15" s="10">
        <v>59.358076563958932</v>
      </c>
      <c r="AC15" s="10">
        <f t="shared" si="1"/>
        <v>58.531512605042003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3BD9-9547-4E88-95BE-D180F3460341}">
  <dimension ref="A1:AC7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19</v>
      </c>
      <c r="B2" s="7">
        <v>1</v>
      </c>
      <c r="C2" s="8">
        <v>3.2321428571428572</v>
      </c>
      <c r="D2" s="8">
        <v>3.3660714285714284</v>
      </c>
      <c r="E2" s="8">
        <v>3.6666666666666679</v>
      </c>
      <c r="F2" s="8">
        <v>3.2410714285714284</v>
      </c>
      <c r="G2" s="8">
        <v>3.3005952380952381</v>
      </c>
      <c r="H2" s="10">
        <v>3.3613095238095241</v>
      </c>
      <c r="I2" s="10">
        <v>59.032738095238102</v>
      </c>
      <c r="J2" s="8">
        <v>0</v>
      </c>
      <c r="K2" s="8">
        <v>0</v>
      </c>
      <c r="L2" s="8">
        <v>49.36708860759493</v>
      </c>
      <c r="M2" s="8">
        <v>0</v>
      </c>
      <c r="N2" s="8">
        <v>16.455696202531644</v>
      </c>
      <c r="O2" s="8">
        <v>16.455696202531644</v>
      </c>
      <c r="P2" s="8">
        <v>1.2658227848101264</v>
      </c>
      <c r="Q2" s="8">
        <v>0</v>
      </c>
      <c r="R2" s="8">
        <v>16.455696202531644</v>
      </c>
      <c r="S2" s="8">
        <v>0</v>
      </c>
      <c r="T2" s="10">
        <v>0.15476190476190477</v>
      </c>
      <c r="U2" s="8">
        <v>0.33760683760683763</v>
      </c>
      <c r="V2" s="14">
        <v>5.2248677248677253E-2</v>
      </c>
      <c r="W2" s="14">
        <f t="shared" ref="W2:W7" si="0">V2*100</f>
        <v>5.2248677248677255</v>
      </c>
      <c r="X2" s="8">
        <v>2.0357142857142856</v>
      </c>
      <c r="Y2" s="8">
        <v>3.4484126984126995</v>
      </c>
      <c r="Z2" s="8">
        <v>3.5986394557823127</v>
      </c>
      <c r="AA2" s="10">
        <v>3.0275888133030988</v>
      </c>
      <c r="AB2" s="10">
        <v>50.689720332577473</v>
      </c>
      <c r="AC2" s="10">
        <f t="shared" ref="AC2:AC7" si="1">100-AVERAGE(I2,W2,AB2)</f>
        <v>61.68422461577223</v>
      </c>
    </row>
    <row r="3" spans="1:29" s="3" customFormat="1" x14ac:dyDescent="0.3">
      <c r="A3" s="6" t="s">
        <v>19</v>
      </c>
      <c r="B3" s="7">
        <v>2</v>
      </c>
      <c r="C3" s="8">
        <v>3.1869158878504673</v>
      </c>
      <c r="D3" s="8">
        <v>3.1261682242990654</v>
      </c>
      <c r="E3" s="8">
        <v>3.3364485981308403</v>
      </c>
      <c r="F3" s="8">
        <v>3.0303738317757007</v>
      </c>
      <c r="G3" s="8">
        <v>3.1051401869158877</v>
      </c>
      <c r="H3" s="10">
        <v>3.1570093457943935</v>
      </c>
      <c r="I3" s="10">
        <v>53.925233644859837</v>
      </c>
      <c r="J3" s="8">
        <v>4.1322314049586772</v>
      </c>
      <c r="K3" s="8">
        <v>3.3057851239669414</v>
      </c>
      <c r="L3" s="8">
        <v>40.495867768595033</v>
      </c>
      <c r="M3" s="8">
        <v>4.9586776859504118</v>
      </c>
      <c r="N3" s="8">
        <v>14.049586776859503</v>
      </c>
      <c r="O3" s="8">
        <v>14.049586776859503</v>
      </c>
      <c r="P3" s="8">
        <v>0.5509641873278236</v>
      </c>
      <c r="Q3" s="8">
        <v>1.1019283746556472</v>
      </c>
      <c r="R3" s="8">
        <v>13.498622589531678</v>
      </c>
      <c r="S3" s="8">
        <v>3.8567493112947644</v>
      </c>
      <c r="T3" s="10">
        <v>0.49532710280373832</v>
      </c>
      <c r="U3" s="8">
        <v>0.38050314465408808</v>
      </c>
      <c r="V3" s="14">
        <v>0.1884735202492212</v>
      </c>
      <c r="W3" s="14">
        <f t="shared" si="0"/>
        <v>18.84735202492212</v>
      </c>
      <c r="X3" s="8">
        <v>1.6004672897196262</v>
      </c>
      <c r="Y3" s="8">
        <v>3.490654205607477</v>
      </c>
      <c r="Z3" s="8">
        <v>3.6248331108144196</v>
      </c>
      <c r="AA3" s="10">
        <v>2.9053182020471744</v>
      </c>
      <c r="AB3" s="10">
        <v>47.632955051179358</v>
      </c>
      <c r="AC3" s="10">
        <f t="shared" si="1"/>
        <v>59.864819759679563</v>
      </c>
    </row>
    <row r="4" spans="1:29" s="3" customFormat="1" x14ac:dyDescent="0.3">
      <c r="A4" s="6" t="s">
        <v>19</v>
      </c>
      <c r="B4" s="7">
        <v>3</v>
      </c>
      <c r="C4" s="8">
        <v>2.8347457627118646</v>
      </c>
      <c r="D4" s="8">
        <v>2.8686440677966103</v>
      </c>
      <c r="E4" s="8">
        <v>3.4858757062146895</v>
      </c>
      <c r="F4" s="8">
        <v>2.7457627118644066</v>
      </c>
      <c r="G4" s="8">
        <v>2.2076271186440679</v>
      </c>
      <c r="H4" s="10">
        <v>2.828531073446328</v>
      </c>
      <c r="I4" s="10">
        <v>45.713276836158201</v>
      </c>
      <c r="J4" s="8">
        <v>14.634146341463408</v>
      </c>
      <c r="K4" s="8">
        <v>1.4634146341463412</v>
      </c>
      <c r="L4" s="8">
        <v>35.121951219512191</v>
      </c>
      <c r="M4" s="8">
        <v>20.487804878048774</v>
      </c>
      <c r="N4" s="8">
        <v>9.7560975609756078</v>
      </c>
      <c r="O4" s="8">
        <v>4.8780487804878039</v>
      </c>
      <c r="P4" s="8">
        <v>0</v>
      </c>
      <c r="Q4" s="8">
        <v>0.48780487804878031</v>
      </c>
      <c r="R4" s="8">
        <v>10.243902439024387</v>
      </c>
      <c r="S4" s="8">
        <v>2.9268292682926824</v>
      </c>
      <c r="T4" s="10">
        <v>0.40677966101694918</v>
      </c>
      <c r="U4" s="8">
        <v>0.47453703703703715</v>
      </c>
      <c r="V4" s="14">
        <v>0.19303201506591341</v>
      </c>
      <c r="W4" s="14">
        <f t="shared" si="0"/>
        <v>19.303201506591343</v>
      </c>
      <c r="X4" s="8">
        <v>2.0423728813559321</v>
      </c>
      <c r="Y4" s="8">
        <v>2.9971751412429377</v>
      </c>
      <c r="Z4" s="8">
        <v>3.1113801452784511</v>
      </c>
      <c r="AA4" s="10">
        <v>2.7169760559591065</v>
      </c>
      <c r="AB4" s="10">
        <v>42.924401398977665</v>
      </c>
      <c r="AC4" s="10">
        <f t="shared" si="1"/>
        <v>64.0197067527576</v>
      </c>
    </row>
    <row r="5" spans="1:29" s="3" customFormat="1" x14ac:dyDescent="0.3">
      <c r="A5" s="6" t="s">
        <v>19</v>
      </c>
      <c r="B5" s="7">
        <v>4</v>
      </c>
      <c r="C5" s="8">
        <v>3.8624999999999998</v>
      </c>
      <c r="D5" s="8">
        <v>3.0291666666666668</v>
      </c>
      <c r="E5" s="8">
        <v>3.883333333333332</v>
      </c>
      <c r="F5" s="8">
        <v>2.6166666666666667</v>
      </c>
      <c r="G5" s="8">
        <v>2.15</v>
      </c>
      <c r="H5" s="10">
        <v>3.1083333333333334</v>
      </c>
      <c r="I5" s="10">
        <v>52.708333333333336</v>
      </c>
      <c r="J5" s="8">
        <v>9.4936708860759467</v>
      </c>
      <c r="K5" s="8">
        <v>2.8481012658227844</v>
      </c>
      <c r="L5" s="8">
        <v>34.177215189873408</v>
      </c>
      <c r="M5" s="8">
        <v>18.987341772151893</v>
      </c>
      <c r="N5" s="8">
        <v>10.759493670886073</v>
      </c>
      <c r="O5" s="8">
        <v>6.9620253164556942</v>
      </c>
      <c r="P5" s="8">
        <v>0.31645569620253161</v>
      </c>
      <c r="Q5" s="8">
        <v>1.8987341772151896</v>
      </c>
      <c r="R5" s="8">
        <v>10.443037974683545</v>
      </c>
      <c r="S5" s="8">
        <v>4.1139240506329111</v>
      </c>
      <c r="T5" s="10">
        <v>0.6</v>
      </c>
      <c r="U5" s="8">
        <v>0.48765432098765438</v>
      </c>
      <c r="V5" s="14">
        <v>0.29259259259259263</v>
      </c>
      <c r="W5" s="14">
        <f t="shared" si="0"/>
        <v>29.259259259259263</v>
      </c>
      <c r="X5" s="8">
        <v>2.0208333333333335</v>
      </c>
      <c r="Y5" s="8">
        <v>3.2055555555555562</v>
      </c>
      <c r="Z5" s="8">
        <v>3.2857142857142851</v>
      </c>
      <c r="AA5" s="10">
        <v>2.8373677248677254</v>
      </c>
      <c r="AB5" s="10">
        <v>45.934193121693134</v>
      </c>
      <c r="AC5" s="10">
        <f t="shared" si="1"/>
        <v>57.366071428571423</v>
      </c>
    </row>
    <row r="6" spans="1:29" s="3" customFormat="1" x14ac:dyDescent="0.3">
      <c r="A6" s="6" t="s">
        <v>19</v>
      </c>
      <c r="B6" s="7">
        <v>5</v>
      </c>
      <c r="C6" s="8">
        <v>2.846774193548387</v>
      </c>
      <c r="D6" s="8">
        <v>3.028225806451613</v>
      </c>
      <c r="E6" s="8">
        <v>2.7204301075268829</v>
      </c>
      <c r="F6" s="8">
        <v>2.1330645161290325</v>
      </c>
      <c r="G6" s="8">
        <v>2.810483870967742</v>
      </c>
      <c r="H6" s="10">
        <v>2.7077956989247323</v>
      </c>
      <c r="I6" s="10">
        <v>42.694892473118308</v>
      </c>
      <c r="J6" s="8">
        <v>2.1978021978021962</v>
      </c>
      <c r="K6" s="8">
        <v>3.2967032967032948</v>
      </c>
      <c r="L6" s="8">
        <v>38.461538461538439</v>
      </c>
      <c r="M6" s="8">
        <v>35.164835164835139</v>
      </c>
      <c r="N6" s="8">
        <v>5.8608058608058569</v>
      </c>
      <c r="O6" s="8">
        <v>3.2967032967032948</v>
      </c>
      <c r="P6" s="8">
        <v>0</v>
      </c>
      <c r="Q6" s="8">
        <v>0.73260073260073211</v>
      </c>
      <c r="R6" s="8">
        <v>10.989010989010984</v>
      </c>
      <c r="S6" s="8">
        <v>0</v>
      </c>
      <c r="T6" s="10">
        <v>0.58064516129032262</v>
      </c>
      <c r="U6" s="8">
        <v>0.4212962962962965</v>
      </c>
      <c r="V6" s="14">
        <v>0.24462365591397864</v>
      </c>
      <c r="W6" s="14">
        <f t="shared" si="0"/>
        <v>24.462365591397862</v>
      </c>
      <c r="X6" s="8">
        <v>2.8870967741935485</v>
      </c>
      <c r="Y6" s="8">
        <v>2.6397849462365586</v>
      </c>
      <c r="Z6" s="8">
        <v>2.8133640552995391</v>
      </c>
      <c r="AA6" s="10">
        <v>2.780081925243215</v>
      </c>
      <c r="AB6" s="10">
        <v>44.502048131080372</v>
      </c>
      <c r="AC6" s="10">
        <f t="shared" si="1"/>
        <v>62.780231268134486</v>
      </c>
    </row>
    <row r="7" spans="1:29" s="3" customFormat="1" x14ac:dyDescent="0.3">
      <c r="A7" s="6" t="s">
        <v>19</v>
      </c>
      <c r="B7" s="7">
        <v>6</v>
      </c>
      <c r="C7" s="8">
        <v>2.407258064516129</v>
      </c>
      <c r="D7" s="8">
        <v>2.838709677419355</v>
      </c>
      <c r="E7" s="8">
        <v>2.166666666666667</v>
      </c>
      <c r="F7" s="8">
        <v>1.4798387096774193</v>
      </c>
      <c r="G7" s="8">
        <v>2.475806451612903</v>
      </c>
      <c r="H7" s="10">
        <v>2.2736559139784935</v>
      </c>
      <c r="I7" s="10">
        <v>31.841397849462339</v>
      </c>
      <c r="J7" s="8">
        <v>0</v>
      </c>
      <c r="K7" s="8">
        <v>2.0547945205479445</v>
      </c>
      <c r="L7" s="8">
        <v>38.013698630136986</v>
      </c>
      <c r="M7" s="8">
        <v>36.986301369863014</v>
      </c>
      <c r="N7" s="8">
        <v>7.5342465753424639</v>
      </c>
      <c r="O7" s="8">
        <v>4.1095890410958891</v>
      </c>
      <c r="P7" s="8">
        <v>0</v>
      </c>
      <c r="Q7" s="8">
        <v>0</v>
      </c>
      <c r="R7" s="8">
        <v>11.301369863013697</v>
      </c>
      <c r="S7" s="8">
        <v>0</v>
      </c>
      <c r="T7" s="10">
        <v>0.59677419354838712</v>
      </c>
      <c r="U7" s="8">
        <v>0.43843843843843849</v>
      </c>
      <c r="V7" s="14">
        <v>0.26164874551971329</v>
      </c>
      <c r="W7" s="14">
        <f t="shared" si="0"/>
        <v>26.16487455197133</v>
      </c>
      <c r="X7" s="8">
        <v>3.024193548387097</v>
      </c>
      <c r="Y7" s="8">
        <v>2.596774193548387</v>
      </c>
      <c r="Z7" s="8">
        <v>2.7235023041474657</v>
      </c>
      <c r="AA7" s="10">
        <v>2.7814900153609843</v>
      </c>
      <c r="AB7" s="10">
        <v>44.53725038402461</v>
      </c>
      <c r="AC7" s="10">
        <f t="shared" si="1"/>
        <v>65.818825738180578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B5C0-6802-49A8-A405-4249E4EAD3CF}">
  <dimension ref="A1:AC8"/>
  <sheetViews>
    <sheetView workbookViewId="0">
      <selection activeCell="I25" sqref="I25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21</v>
      </c>
      <c r="B2" s="7">
        <v>1</v>
      </c>
      <c r="C2" s="8">
        <v>2.7067307692307692</v>
      </c>
      <c r="D2" s="8">
        <v>1.9471153846153846</v>
      </c>
      <c r="E2" s="8">
        <v>3.3653846153846154</v>
      </c>
      <c r="F2" s="8">
        <v>1.2788461538461537</v>
      </c>
      <c r="G2" s="8">
        <v>2.6346153846153846</v>
      </c>
      <c r="H2" s="10">
        <v>2.3865384615384615</v>
      </c>
      <c r="I2" s="10">
        <v>34.66346153846154</v>
      </c>
      <c r="J2" s="8">
        <v>6.521739130434784</v>
      </c>
      <c r="K2" s="8">
        <v>6.521739130434784</v>
      </c>
      <c r="L2" s="8">
        <v>45.652173913043484</v>
      </c>
      <c r="M2" s="8">
        <v>13.043478260869568</v>
      </c>
      <c r="N2" s="8">
        <v>6.521739130434784</v>
      </c>
      <c r="O2" s="8">
        <v>0</v>
      </c>
      <c r="P2" s="8">
        <v>4.3478260869565233</v>
      </c>
      <c r="Q2" s="8">
        <v>2.1739130434782616</v>
      </c>
      <c r="R2" s="8">
        <v>10.869565217391306</v>
      </c>
      <c r="S2" s="8">
        <v>4.3478260869565233</v>
      </c>
      <c r="T2" s="10">
        <v>0.13461538461538461</v>
      </c>
      <c r="U2" s="8">
        <v>0.36507936507936506</v>
      </c>
      <c r="V2" s="14">
        <v>4.9145299145299137E-2</v>
      </c>
      <c r="W2" s="14">
        <f t="shared" ref="W2:W8" si="0">V2*100</f>
        <v>4.9145299145299139</v>
      </c>
      <c r="X2" s="14">
        <v>2.3221153846153846</v>
      </c>
      <c r="Y2" s="8">
        <v>2.1891025641025639</v>
      </c>
      <c r="Z2" s="8">
        <v>2.8626373626373609</v>
      </c>
      <c r="AA2" s="8">
        <v>2.4579517704517708</v>
      </c>
      <c r="AB2" s="10">
        <v>36.448794261294267</v>
      </c>
      <c r="AC2" s="10">
        <f t="shared" ref="AC2:AC8" si="1">100-AVERAGE(I2,W2,AB2)</f>
        <v>74.657738095238088</v>
      </c>
    </row>
    <row r="3" spans="1:29" s="3" customFormat="1" x14ac:dyDescent="0.3">
      <c r="A3" s="6" t="s">
        <v>21</v>
      </c>
      <c r="B3" s="7">
        <v>2</v>
      </c>
      <c r="C3" s="8">
        <v>3.1</v>
      </c>
      <c r="D3" s="8">
        <v>2.2166666666666668</v>
      </c>
      <c r="E3" s="8">
        <v>3.4222222222222229</v>
      </c>
      <c r="F3" s="8">
        <v>1.1499999999999999</v>
      </c>
      <c r="G3" s="8">
        <v>2.9750000000000001</v>
      </c>
      <c r="H3" s="10">
        <v>2.5727777777777794</v>
      </c>
      <c r="I3" s="10">
        <v>39.319444444444485</v>
      </c>
      <c r="J3" s="8">
        <v>0</v>
      </c>
      <c r="K3" s="8">
        <v>0</v>
      </c>
      <c r="L3" s="8">
        <v>45.454545454545446</v>
      </c>
      <c r="M3" s="8">
        <v>18.18181818181818</v>
      </c>
      <c r="N3" s="8">
        <v>12.121212121212119</v>
      </c>
      <c r="O3" s="8">
        <v>3.0303030303030298</v>
      </c>
      <c r="P3" s="8">
        <v>0</v>
      </c>
      <c r="Q3" s="8">
        <v>0</v>
      </c>
      <c r="R3" s="8">
        <v>15.151515151515149</v>
      </c>
      <c r="S3" s="8">
        <v>6.0606060606060597</v>
      </c>
      <c r="T3" s="10">
        <v>0.16666666666666666</v>
      </c>
      <c r="U3" s="8">
        <v>0.3666666666666667</v>
      </c>
      <c r="V3" s="14">
        <v>6.1111111111111116E-2</v>
      </c>
      <c r="W3" s="14">
        <f t="shared" si="0"/>
        <v>6.1111111111111116</v>
      </c>
      <c r="X3" s="14">
        <v>2.1666666666666665</v>
      </c>
      <c r="Y3" s="8">
        <v>2.3500000000000005</v>
      </c>
      <c r="Z3" s="8">
        <v>3.2333333333333334</v>
      </c>
      <c r="AA3" s="8">
        <v>2.5833333333333339</v>
      </c>
      <c r="AB3" s="10">
        <v>39.58333333333335</v>
      </c>
      <c r="AC3" s="10">
        <f t="shared" si="1"/>
        <v>71.662037037037024</v>
      </c>
    </row>
    <row r="4" spans="1:29" s="3" customFormat="1" x14ac:dyDescent="0.3">
      <c r="A4" s="6" t="s">
        <v>21</v>
      </c>
      <c r="B4" s="7">
        <v>3</v>
      </c>
      <c r="C4" s="8">
        <v>1.9787234042553192</v>
      </c>
      <c r="D4" s="8">
        <v>1.2606382978723405</v>
      </c>
      <c r="E4" s="8">
        <v>2.3262411347517729</v>
      </c>
      <c r="F4" s="8">
        <v>1.4627659574468086</v>
      </c>
      <c r="G4" s="8">
        <v>1.4787234042553192</v>
      </c>
      <c r="H4" s="10">
        <v>1.7014184397163121</v>
      </c>
      <c r="I4" s="10">
        <v>17.535460992907804</v>
      </c>
      <c r="J4" s="8">
        <v>0</v>
      </c>
      <c r="K4" s="8">
        <v>0</v>
      </c>
      <c r="L4" s="8">
        <v>43.999999999999986</v>
      </c>
      <c r="M4" s="8">
        <v>0</v>
      </c>
      <c r="N4" s="8">
        <v>14.666666666666661</v>
      </c>
      <c r="O4" s="8">
        <v>5.3333333333333313</v>
      </c>
      <c r="P4" s="8">
        <v>14.666666666666661</v>
      </c>
      <c r="Q4" s="8">
        <v>1.3333333333333328</v>
      </c>
      <c r="R4" s="8">
        <v>14.666666666666661</v>
      </c>
      <c r="S4" s="8">
        <v>5.3333333333333313</v>
      </c>
      <c r="T4" s="10">
        <v>0.23404255319148937</v>
      </c>
      <c r="U4" s="8">
        <v>0.3787878787878789</v>
      </c>
      <c r="V4" s="14">
        <v>8.8652482269503577E-2</v>
      </c>
      <c r="W4" s="14">
        <f t="shared" si="0"/>
        <v>8.8652482269503583</v>
      </c>
      <c r="X4" s="14">
        <v>2.5053191489361701</v>
      </c>
      <c r="Y4" s="8">
        <v>3.0602836879432624</v>
      </c>
      <c r="Z4" s="8">
        <v>3.282674772036474</v>
      </c>
      <c r="AA4" s="8">
        <v>2.9494258696386342</v>
      </c>
      <c r="AB4" s="10">
        <v>48.735646740965855</v>
      </c>
      <c r="AC4" s="10">
        <f t="shared" si="1"/>
        <v>74.954548013058655</v>
      </c>
    </row>
    <row r="5" spans="1:29" s="3" customFormat="1" x14ac:dyDescent="0.3">
      <c r="A5" s="6" t="s">
        <v>21</v>
      </c>
      <c r="B5" s="7">
        <v>4</v>
      </c>
      <c r="C5" s="8">
        <v>2.5681818181818183</v>
      </c>
      <c r="D5" s="8">
        <v>1.4772727272727273</v>
      </c>
      <c r="E5" s="8">
        <v>2.6161616161616164</v>
      </c>
      <c r="F5" s="8">
        <v>1.606060606060606</v>
      </c>
      <c r="G5" s="8">
        <v>2.0227272727272729</v>
      </c>
      <c r="H5" s="10">
        <v>2.0580808080808084</v>
      </c>
      <c r="I5" s="10">
        <v>26.452020202020211</v>
      </c>
      <c r="J5" s="8">
        <v>0</v>
      </c>
      <c r="K5" s="8">
        <v>0</v>
      </c>
      <c r="L5" s="8">
        <v>38.709677419354819</v>
      </c>
      <c r="M5" s="8">
        <v>0</v>
      </c>
      <c r="N5" s="8">
        <v>12.903225806451607</v>
      </c>
      <c r="O5" s="8">
        <v>12.903225806451607</v>
      </c>
      <c r="P5" s="8">
        <v>12.903225806451607</v>
      </c>
      <c r="Q5" s="8">
        <v>0</v>
      </c>
      <c r="R5" s="8">
        <v>12.903225806451607</v>
      </c>
      <c r="S5" s="8">
        <v>9.6774193548387046</v>
      </c>
      <c r="T5" s="10">
        <v>0.12121212121212122</v>
      </c>
      <c r="U5" s="8">
        <v>0.43055555555555569</v>
      </c>
      <c r="V5" s="14">
        <v>5.2188552188552208E-2</v>
      </c>
      <c r="W5" s="14">
        <f t="shared" si="0"/>
        <v>5.2188552188552206</v>
      </c>
      <c r="X5" s="14">
        <v>2.8333333333333335</v>
      </c>
      <c r="Y5" s="8">
        <v>3.4141414141414148</v>
      </c>
      <c r="Z5" s="8">
        <v>3.5844155844155847</v>
      </c>
      <c r="AA5" s="8">
        <v>3.2772967772967765</v>
      </c>
      <c r="AB5" s="10">
        <v>56.932419432419415</v>
      </c>
      <c r="AC5" s="10">
        <f t="shared" si="1"/>
        <v>70.465568382235048</v>
      </c>
    </row>
    <row r="6" spans="1:29" s="3" customFormat="1" x14ac:dyDescent="0.3">
      <c r="A6" s="6" t="s">
        <v>21</v>
      </c>
      <c r="B6" s="7">
        <v>5</v>
      </c>
      <c r="C6" s="8">
        <v>2.2166666666666668</v>
      </c>
      <c r="D6" s="8">
        <v>1.3733333333333333</v>
      </c>
      <c r="E6" s="8">
        <v>2.2799999999999998</v>
      </c>
      <c r="F6" s="8">
        <v>1.3366666666666667</v>
      </c>
      <c r="G6" s="8">
        <v>1.83</v>
      </c>
      <c r="H6" s="10">
        <v>1.8073333333333339</v>
      </c>
      <c r="I6" s="10">
        <v>20.183333333333348</v>
      </c>
      <c r="J6" s="8">
        <v>0</v>
      </c>
      <c r="K6" s="8">
        <v>3.3333333333333335</v>
      </c>
      <c r="L6" s="8">
        <v>46.666666666666664</v>
      </c>
      <c r="M6" s="8">
        <v>3.3333333333333335</v>
      </c>
      <c r="N6" s="8">
        <v>13.333333333333334</v>
      </c>
      <c r="O6" s="8">
        <v>2.2222222222222223</v>
      </c>
      <c r="P6" s="8">
        <v>8.8888888888888893</v>
      </c>
      <c r="Q6" s="8">
        <v>0</v>
      </c>
      <c r="R6" s="8">
        <v>15.555555555555555</v>
      </c>
      <c r="S6" s="8">
        <v>6.666666666666667</v>
      </c>
      <c r="T6" s="10">
        <v>0.18666666666666668</v>
      </c>
      <c r="U6" s="8">
        <v>0.35714285714285715</v>
      </c>
      <c r="V6" s="14">
        <v>6.6666666666666666E-2</v>
      </c>
      <c r="W6" s="14">
        <f t="shared" si="0"/>
        <v>6.666666666666667</v>
      </c>
      <c r="X6" s="14">
        <v>2.8833333333333333</v>
      </c>
      <c r="Y6" s="8">
        <v>3.1466666666666652</v>
      </c>
      <c r="Z6" s="8">
        <v>3.2761904761904774</v>
      </c>
      <c r="AA6" s="8">
        <v>3.1020634920634915</v>
      </c>
      <c r="AB6" s="10">
        <v>52.55158730158729</v>
      </c>
      <c r="AC6" s="10">
        <f t="shared" si="1"/>
        <v>73.532804232804224</v>
      </c>
    </row>
    <row r="7" spans="1:29" s="3" customFormat="1" x14ac:dyDescent="0.3">
      <c r="A7" s="6" t="s">
        <v>21</v>
      </c>
      <c r="B7" s="7">
        <v>6</v>
      </c>
      <c r="C7" s="8">
        <v>2.6641791044776117</v>
      </c>
      <c r="D7" s="8">
        <v>1.6940298507462686</v>
      </c>
      <c r="E7" s="8">
        <v>3.0149253731343273</v>
      </c>
      <c r="F7" s="8">
        <v>1.2985074626865671</v>
      </c>
      <c r="G7" s="8">
        <v>2.2126865671641789</v>
      </c>
      <c r="H7" s="10">
        <v>2.17686567164179</v>
      </c>
      <c r="I7" s="10">
        <v>29.421641791044749</v>
      </c>
      <c r="J7" s="8">
        <v>3.6144578313253009</v>
      </c>
      <c r="K7" s="8">
        <v>7.2289156626506017</v>
      </c>
      <c r="L7" s="8">
        <v>43.373493975903607</v>
      </c>
      <c r="M7" s="8">
        <v>7.2289156626506017</v>
      </c>
      <c r="N7" s="8">
        <v>9.6385542168674672</v>
      </c>
      <c r="O7" s="8">
        <v>2.4096385542168668</v>
      </c>
      <c r="P7" s="8">
        <v>7.2289156626506008</v>
      </c>
      <c r="Q7" s="8">
        <v>0</v>
      </c>
      <c r="R7" s="8">
        <v>14.457831325301202</v>
      </c>
      <c r="S7" s="8">
        <v>4.8192771084337336</v>
      </c>
      <c r="T7" s="10">
        <v>0.17910447761194029</v>
      </c>
      <c r="U7" s="8">
        <v>0.3842592592592593</v>
      </c>
      <c r="V7" s="14">
        <v>6.8822553897180769E-2</v>
      </c>
      <c r="W7" s="14">
        <f t="shared" si="0"/>
        <v>6.8822553897180772</v>
      </c>
      <c r="X7" s="14">
        <v>2.5</v>
      </c>
      <c r="Y7" s="8">
        <v>2.5796019900497513</v>
      </c>
      <c r="Z7" s="8">
        <v>2.8443496801705757</v>
      </c>
      <c r="AA7" s="8">
        <v>2.6413172234067748</v>
      </c>
      <c r="AB7" s="10">
        <v>41.032930585169368</v>
      </c>
      <c r="AC7" s="10">
        <f t="shared" si="1"/>
        <v>74.221057411355943</v>
      </c>
    </row>
    <row r="8" spans="1:29" s="3" customFormat="1" x14ac:dyDescent="0.3">
      <c r="A8" s="6" t="s">
        <v>21</v>
      </c>
      <c r="B8" s="7">
        <v>7</v>
      </c>
      <c r="C8" s="8">
        <v>3.1590909090909092</v>
      </c>
      <c r="D8" s="8">
        <v>1.9375</v>
      </c>
      <c r="E8" s="8">
        <v>3.3181818181818183</v>
      </c>
      <c r="F8" s="8">
        <v>1.1875</v>
      </c>
      <c r="G8" s="8">
        <v>2.7272727272727271</v>
      </c>
      <c r="H8" s="10">
        <v>2.4659090909090904</v>
      </c>
      <c r="I8" s="10">
        <v>36.647727272727259</v>
      </c>
      <c r="J8" s="8">
        <v>0</v>
      </c>
      <c r="K8" s="8">
        <v>0</v>
      </c>
      <c r="L8" s="8">
        <v>40</v>
      </c>
      <c r="M8" s="8">
        <v>29.999999999999993</v>
      </c>
      <c r="N8" s="8">
        <v>11.666666666666666</v>
      </c>
      <c r="O8" s="8">
        <v>0</v>
      </c>
      <c r="P8" s="8">
        <v>3.3333333333333335</v>
      </c>
      <c r="Q8" s="8">
        <v>0</v>
      </c>
      <c r="R8" s="8">
        <v>13.333333333333334</v>
      </c>
      <c r="S8" s="8">
        <v>1.6666666666666667</v>
      </c>
      <c r="T8" s="10">
        <v>0.18181818181818182</v>
      </c>
      <c r="U8" s="8">
        <v>0.41666666666666663</v>
      </c>
      <c r="V8" s="14">
        <v>7.575757575757576E-2</v>
      </c>
      <c r="W8" s="14">
        <f t="shared" si="0"/>
        <v>7.5757575757575761</v>
      </c>
      <c r="X8" s="14">
        <v>2.4034090909090908</v>
      </c>
      <c r="Y8" s="8">
        <v>2.1515151515151518</v>
      </c>
      <c r="Z8" s="8">
        <v>2.8733766233766231</v>
      </c>
      <c r="AA8" s="8">
        <v>2.4761002886002883</v>
      </c>
      <c r="AB8" s="10">
        <v>36.902507215007205</v>
      </c>
      <c r="AC8" s="10">
        <f t="shared" si="1"/>
        <v>72.958002645502646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Kepilasgadhi</vt:lpstr>
      <vt:lpstr>Halesi</vt:lpstr>
      <vt:lpstr>Belaka</vt:lpstr>
      <vt:lpstr>Hanuman</vt:lpstr>
      <vt:lpstr>Gadhi</vt:lpstr>
      <vt:lpstr>Sunkoshi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Acharya</cp:lastModifiedBy>
  <dcterms:created xsi:type="dcterms:W3CDTF">2015-06-05T18:17:20Z</dcterms:created>
  <dcterms:modified xsi:type="dcterms:W3CDTF">2026-09-21T16:59:59Z</dcterms:modified>
</cp:coreProperties>
</file>